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d47bd333b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BeamColumn" sheetId="10" r:id="Reb66d564b226477b"/>
    <x:sheet xmlns:r="http://schemas.openxmlformats.org/officeDocument/2006/relationships" name="Q1 Solver setup" sheetId="11" r:id="R4d954f8312134f38"/>
    <x:sheet xmlns:r="http://schemas.openxmlformats.org/officeDocument/2006/relationships" name="Q1 Graphical" sheetId="12" r:id="Raba71d65eb7a49f4"/>
    <x:sheet xmlns:r="http://schemas.openxmlformats.org/officeDocument/2006/relationships" name="Q2_Cantilever" sheetId="4" r:id="R715303ee024f47c5"/>
    <x:sheet xmlns:r="http://schemas.openxmlformats.org/officeDocument/2006/relationships" name="Q2 Solver setup" sheetId="5" r:id="Rb334fee24ac84a8b"/>
    <x:sheet xmlns:r="http://schemas.openxmlformats.org/officeDocument/2006/relationships" name="Q2 Graphical" sheetId="6" r:id="R5c92722d21da4553"/>
    <x:sheet xmlns:r="http://schemas.openxmlformats.org/officeDocument/2006/relationships" name="Q3_Tripod" sheetId="7" r:id="R0a62567b3a5b4b2c"/>
    <x:sheet xmlns:r="http://schemas.openxmlformats.org/officeDocument/2006/relationships" name="Q3 Solver setup" sheetId="8" r:id="R28754ac3c0e446cf"/>
    <x:sheet xmlns:r="http://schemas.openxmlformats.org/officeDocument/2006/relationships" name="Q3 Graphical" sheetId="9" r:id="Rf3876e4054874b65"/>
  </x:sheets>
  <x:definedNames>
    <x:definedName name="Q1_active_tol">Q1_BeamColumn!$G$18</x:definedName>
    <x:definedName name="Q1_delta_allow">Q1_BeamColumn!$G$16</x:definedName>
    <x:definedName name="Q1_delta_fraction">Q1_BeamColumn!$B$17</x:definedName>
    <x:definedName name="Q1_E">Q1_BeamColumn!$B$13</x:definedName>
    <x:definedName name="Q1_feas_tol">Q1_BeamColumn!$G$17</x:definedName>
    <x:definedName name="Q1_gravity">Q1_BeamColumn!$B$16</x:definedName>
    <x:definedName name="Q1_L">Q1_BeamColumn!$B$11</x:definedName>
    <x:definedName name="Q1_P">Q1_BeamColumn!$B$12</x:definedName>
    <x:definedName name="Q1_R">Q1_BeamColumn!$B$7</x:definedName>
    <x:definedName name="Q1_ratio_max">Q1_BeamColumn!$G$15</x:definedName>
    <x:definedName name="Q1_rho">Q1_BeamColumn!$B$14</x:definedName>
    <x:definedName name="Q1_Rmax">Q1_BeamColumn!$G$12</x:definedName>
    <x:definedName name="Q1_Rmin">Q1_BeamColumn!$G$11</x:definedName>
    <x:definedName name="Q1_sigma">Q1_BeamColumn!$B$15</x:definedName>
    <x:definedName name="Q1_t">Q1_BeamColumn!$B$8</x:definedName>
    <x:definedName name="Q1_tmax">Q1_BeamColumn!$G$14</x:definedName>
    <x:definedName name="Q1_tmin">Q1_BeamColumn!$G$13</x:definedName>
    <x:definedName name="Q2_guard">Q2_Cantilever!$B$16</x:definedName>
    <x:definedName name="Q2_L">Q2_Cantilever!$B$12</x:definedName>
    <x:definedName name="Q2_P">Q2_Cantilever!$B$11</x:definedName>
    <x:definedName name="Q2_rho">Q2_Cantilever!$B$13</x:definedName>
    <x:definedName name="Q2_Ri">Q2_Cantilever!$B$8</x:definedName>
    <x:definedName name="Q2_Ro">Q2_Cantilever!$B$7</x:definedName>
    <x:definedName name="Q2_sigma">Q2_Cantilever!$B$14</x:definedName>
    <x:definedName name="Q2_tau">Q2_Cantilever!$B$15</x:definedName>
    <x:definedName name="Q3_B">Q3_Tripod!$B$12</x:definedName>
    <x:definedName name="Q3_D">Q3_Tripod!$B$8</x:definedName>
    <x:definedName name="Q3_E">Q3_Tripod!$B$13</x:definedName>
    <x:definedName name="Q3_FS">Q3_Tripod!$B$16</x:definedName>
    <x:definedName name="Q3_H">Q3_Tripod!$B$7</x:definedName>
    <x:definedName name="Q3_rho">Q3_Tripod!$B$14</x:definedName>
    <x:definedName name="Q3_sigma">Q3_Tripod!$B$15</x:definedName>
    <x:definedName name="Q3_W">Q3_Tripod!$B$11</x:definedName>
    <x:definedName name="solver_adj" localSheetId="0" hidden="1">Q1_BeamColumn!$B$7:$B$8</x:definedName>
    <x:definedName name="solver_cvg" localSheetId="0" hidden="1">0.000000001</x:definedName>
    <x:definedName name="solver_drv" localSheetId="0" hidden="1">2</x:definedName>
    <x:definedName name="solver_eng" localSheetId="0" hidden="1">1</x:definedName>
    <x:definedName name="solver_est" localSheetId="0" hidden="1">1</x:definedName>
    <x:definedName name="solver_itr" localSheetId="0" hidden="1">1500</x:definedName>
    <x:definedName name="solver_lhs1" localSheetId="0" hidden="1">Q1_BeamColumn!$B$29:$B$35</x:definedName>
    <x:definedName name="solver_lhs2" localSheetId="0" hidden="1">Q1_BeamColumn!$B$7</x:definedName>
    <x:definedName name="solver_lhs3" localSheetId="0" hidden="1">Q1_BeamColumn!$B$7</x:definedName>
    <x:definedName name="solver_lhs4" localSheetId="0" hidden="1">Q1_BeamColumn!$B$8</x:definedName>
    <x:definedName name="solver_lhs5" localSheetId="0" hidden="1">Q1_BeamColumn!$B$8</x:definedName>
    <x:definedName name="solver_lin" localSheetId="0" hidden="1">2</x:definedName>
    <x:definedName name="solver_neg" localSheetId="0" hidden="1">1</x:definedName>
    <x:definedName name="solver_num" localSheetId="0" hidden="1">5</x:definedName>
    <x:definedName name="solver_nwt" localSheetId="0" hidden="1">1</x:definedName>
    <x:definedName name="solver_opt" localSheetId="0" hidden="1">Q1_BeamColumn!$B$4</x:definedName>
    <x:definedName name="solver_pre" localSheetId="0" hidden="1">0.000000001</x:definedName>
    <x:definedName name="solver_rel1" localSheetId="0" hidden="1">1</x:definedName>
    <x:definedName name="solver_rel2" localSheetId="0" hidden="1">3</x:definedName>
    <x:definedName name="solver_rel3" localSheetId="0" hidden="1">1</x:definedName>
    <x:definedName name="solver_rel4" localSheetId="0" hidden="1">3</x:definedName>
    <x:definedName name="solver_rel5" localSheetId="0" hidden="1">1</x:definedName>
    <x:definedName name="solver_rhs1" localSheetId="0" hidden="1">Q1_BeamColumn!$C$29:$C$35</x:definedName>
    <x:definedName name="solver_rhs2" localSheetId="0" hidden="1">Q1_BeamColumn!$G$11</x:definedName>
    <x:definedName name="solver_rhs3" localSheetId="0" hidden="1">Q1_BeamColumn!$G$12</x:definedName>
    <x:definedName name="solver_rhs4" localSheetId="0" hidden="1">Q1_BeamColumn!$G$13</x:definedName>
    <x:definedName name="solver_rhs5" localSheetId="0" hidden="1">Q1_BeamColumn!$G$14</x:definedName>
    <x:definedName name="solver_scl" localSheetId="0" hidden="1">1</x:definedName>
    <x:definedName name="solver_sho" localSheetId="0" hidden="1">2</x:definedName>
    <x:definedName name="solver_tim" localSheetId="0" hidden="1">100</x:definedName>
    <x:definedName name="solver_tol" localSheetId="0" hidden="1">0.05</x:definedName>
    <x:definedName name="solver_typ" localSheetId="0" hidden="1">2</x:definedName>
    <x:definedName name="solver_val" localSheetId="0" hidden="1">0</x:definedName>
    <x:definedName name="solver_ver" localSheetId="0" hidden="1">3</x:definedName>
    <x:definedName name="solver_adj" localSheetId="3" hidden="1">Q2_Cantilever!$B$7:$B$8</x:definedName>
    <x:definedName name="solver_cvg" localSheetId="3" hidden="1">0.000000001</x:definedName>
    <x:definedName name="solver_drv" localSheetId="3" hidden="1">2</x:definedName>
    <x:definedName name="solver_eng" localSheetId="3" hidden="1">1</x:definedName>
    <x:definedName name="solver_est" localSheetId="3" hidden="1">1</x:definedName>
    <x:definedName name="solver_itr" localSheetId="3" hidden="1">2000</x:definedName>
    <x:definedName name="solver_lhs1" localSheetId="3" hidden="1">Q2_Cantilever!$B$45:$B$46</x:definedName>
    <x:definedName name="solver_lhs2" localSheetId="3" hidden="1">Q2_Cantilever!$B$28:$B$31</x:definedName>
    <x:definedName name="solver_lhs3" localSheetId="3" hidden="1">Q2_Cantilever!$B$7:$B$8</x:definedName>
    <x:definedName name="solver_lhs4" localSheetId="3" hidden="1">Q2_Cantilever!$B$7:$B$8</x:definedName>
    <x:definedName name="solver_lhs5" localSheetId="3" hidden="1">Q2_Cantilever!$B$22</x:definedName>
    <x:definedName name="solver_lin" localSheetId="3" hidden="1">2</x:definedName>
    <x:definedName name="solver_neg" localSheetId="3" hidden="1">1</x:definedName>
    <x:definedName name="solver_num" localSheetId="3" hidden="1">5</x:definedName>
    <x:definedName name="solver_nwt" localSheetId="3" hidden="1">1</x:definedName>
    <x:definedName name="solver_opt" localSheetId="3" hidden="1">Q2_Cantilever!$B$4</x:definedName>
    <x:definedName name="solver_pre" localSheetId="3" hidden="1">0.000000001</x:definedName>
    <x:definedName name="solver_rel1" localSheetId="3" hidden="1">1</x:definedName>
    <x:definedName name="solver_rel2" localSheetId="3" hidden="1">1</x:definedName>
    <x:definedName name="solver_rel3" localSheetId="3" hidden="1">3</x:definedName>
    <x:definedName name="solver_rel4" localSheetId="3" hidden="1">1</x:definedName>
    <x:definedName name="solver_rel5" localSheetId="3" hidden="1">3</x:definedName>
    <x:definedName name="solver_rhs1" localSheetId="3" hidden="1">0</x:definedName>
    <x:definedName name="solver_rhs2" localSheetId="3" hidden="1">Q2_Cantilever!$C$28:$C$31</x:definedName>
    <x:definedName name="solver_rhs3" localSheetId="3" hidden="1">0</x:definedName>
    <x:definedName name="solver_rhs4" localSheetId="3" hidden="1">40</x:definedName>
    <x:definedName name="solver_rhs5" localSheetId="3" hidden="1">Q2_Cantilever!$B$16</x:definedName>
    <x:definedName name="solver_scl" localSheetId="3" hidden="1">1</x:definedName>
    <x:definedName name="solver_sho" localSheetId="3" hidden="1">2</x:definedName>
    <x:definedName name="solver_tim" localSheetId="3" hidden="1">100</x:definedName>
    <x:definedName name="solver_tol" localSheetId="3" hidden="1">0.05</x:definedName>
    <x:definedName name="solver_typ" localSheetId="3" hidden="1">2</x:definedName>
    <x:definedName name="solver_val" localSheetId="3" hidden="1">0</x:definedName>
    <x:definedName name="solver_ver" localSheetId="3" hidden="1">3</x:definedName>
    <x:definedName name="solver_adj" localSheetId="6" hidden="1">Q3_Tripod!$B$7:$B$8</x:definedName>
    <x:definedName name="solver_cvg" localSheetId="6" hidden="1">0.000000001</x:definedName>
    <x:definedName name="solver_drv" localSheetId="6" hidden="1">2</x:definedName>
    <x:definedName name="solver_eng" localSheetId="6" hidden="1">1</x:definedName>
    <x:definedName name="solver_est" localSheetId="6" hidden="1">1</x:definedName>
    <x:definedName name="solver_itr" localSheetId="6" hidden="1">2000</x:definedName>
    <x:definedName name="solver_lhs1" localSheetId="6" hidden="1">Q3_Tripod!$B$26:$B$31</x:definedName>
    <x:definedName name="solver_lhs2" localSheetId="6" hidden="1">Q3_Tripod!$B$7</x:definedName>
    <x:definedName name="solver_lhs3" localSheetId="6" hidden="1">Q3_Tripod!$B$7</x:definedName>
    <x:definedName name="solver_lhs4" localSheetId="6" hidden="1">Q3_Tripod!$B$8</x:definedName>
    <x:definedName name="solver_lhs5" localSheetId="6" hidden="1">Q3_Tripod!$B$8</x:definedName>
    <x:definedName name="solver_lin" localSheetId="6" hidden="1">2</x:definedName>
    <x:definedName name="solver_neg" localSheetId="6" hidden="1">1</x:definedName>
    <x:definedName name="solver_num" localSheetId="6" hidden="1">5</x:definedName>
    <x:definedName name="solver_nwt" localSheetId="6" hidden="1">1</x:definedName>
    <x:definedName name="solver_opt" localSheetId="6" hidden="1">Q3_Tripod!$B$4</x:definedName>
    <x:definedName name="solver_pre" localSheetId="6" hidden="1">0.000000001</x:definedName>
    <x:definedName name="solver_rel1" localSheetId="6" hidden="1">1</x:definedName>
    <x:definedName name="solver_rel2" localSheetId="6" hidden="1">3</x:definedName>
    <x:definedName name="solver_rel3" localSheetId="6" hidden="1">1</x:definedName>
    <x:definedName name="solver_rel4" localSheetId="6" hidden="1">3</x:definedName>
    <x:definedName name="solver_rel5" localSheetId="6" hidden="1">1</x:definedName>
    <x:definedName name="solver_rhs1" localSheetId="6" hidden="1">Q3_Tripod!$C$26:$C$31</x:definedName>
    <x:definedName name="solver_rhs2" localSheetId="6" hidden="1">50</x:definedName>
    <x:definedName name="solver_rhs3" localSheetId="6" hidden="1">200</x:definedName>
    <x:definedName name="solver_rhs4" localSheetId="6" hidden="1">0.5</x:definedName>
    <x:definedName name="solver_rhs5" localSheetId="6" hidden="1">10</x:definedName>
    <x:definedName name="solver_scl" localSheetId="6" hidden="1">1</x:definedName>
    <x:definedName name="solver_sho" localSheetId="6" hidden="1">2</x:definedName>
    <x:definedName name="solver_tim" localSheetId="6" hidden="1">100</x:definedName>
    <x:definedName name="solver_tol" localSheetId="6" hidden="1">0.05</x:definedName>
    <x:definedName name="solver_typ" localSheetId="6" hidden="1">2</x:definedName>
    <x:definedName name="solver_val" localSheetId="6" hidden="1">0</x:definedName>
    <x:definedName name="solver_ver" localSheetId="6" hidden="1">3</x:definedName>
  </x:definedNames>
</x:workbook>
</file>

<file path=xl/sharedStrings.xml><?xml version="1.0" encoding="utf-8"?>
<x:sst xmlns:x="http://schemas.openxmlformats.org/spreadsheetml/2006/main">
  <x:si>
    <x:t xml:space="preserve">Question 1 - Thin-walled beam-column</x:t>
  </x:si>
  <x:si>
    <x:t xml:space="preserve">Mass (objective)</x:t>
  </x:si>
  <x:si>
    <x:t xml:space="preserve">kg</x:t>
  </x:si>
  <x:si>
    <x:t xml:space="preserve">Radius R</x:t>
  </x:si>
  <x:si>
    <x:t xml:space="preserve">cm</x:t>
  </x:si>
  <x:si>
    <x:t xml:space="preserve">Wall thickness t</x:t>
  </x:si>
  <x:si>
    <x:t xml:space="preserve">Length L</x:t>
  </x:si>
  <x:si>
    <x:t xml:space="preserve">m</x:t>
  </x:si>
  <x:si>
    <x:t xml:space="preserve">Minimum radius</x:t>
  </x:si>
  <x:si>
    <x:t xml:space="preserve">Axial load P</x:t>
  </x:si>
  <x:si>
    <x:t xml:space="preserve">N</x:t>
  </x:si>
  <x:si>
    <x:t xml:space="preserve">Maximum radius</x:t>
  </x:si>
  <x:si>
    <x:t xml:space="preserve">Elastic modulus E</x:t>
  </x:si>
  <x:si>
    <x:t xml:space="preserve">Pa</x:t>
  </x:si>
  <x:si>
    <x:t xml:space="preserve">Minimum thickness</x:t>
  </x:si>
  <x:si>
    <x:t xml:space="preserve">Density</x:t>
  </x:si>
  <x:si>
    <x:t xml:space="preserve">kg/m^3</x:t>
  </x:si>
  <x:si>
    <x:t xml:space="preserve">Maximum thickness</x:t>
  </x:si>
  <x:si>
    <x:t xml:space="preserve">Allowable axial stress</x:t>
  </x:si>
  <x:si>
    <x:t xml:space="preserve">Maximum R/t</x:t>
  </x:si>
  <x:si>
    <x:t xml:space="preserve">-</x:t>
  </x:si>
  <x:si>
    <x:t xml:space="preserve">Gravity</x:t>
  </x:si>
  <x:si>
    <x:t xml:space="preserve">m/s^2</x:t>
  </x:si>
  <x:si>
    <x:t xml:space="preserve">Allowable deflection</x:t>
  </x:si>
  <x:si>
    <x:t xml:space="preserve">Deflection / length limit</x:t>
  </x:si>
  <x:si>
    <x:t xml:space="preserve">Feasibility tolerance</x:t>
  </x:si>
  <x:si>
    <x:t xml:space="preserve">Activity tolerance</x:t>
  </x:si>
  <x:si>
    <x:t xml:space="preserve">Thin-wall area A</x:t>
  </x:si>
  <x:si>
    <x:t xml:space="preserve">m^2</x:t>
  </x:si>
  <x:si>
    <x:t xml:space="preserve">Thin-wall inertia I</x:t>
  </x:si>
  <x:si>
    <x:t xml:space="preserve">m^4</x:t>
  </x:si>
  <x:si>
    <x:t xml:space="preserve">Self-weight per length w</x:t>
  </x:si>
  <x:si>
    <x:t xml:space="preserve">N/m</x:t>
  </x:si>
  <x:si>
    <x:t xml:space="preserve">Axial stress sigma</x:t>
  </x:si>
  <x:si>
    <x:t xml:space="preserve">Self-weight deflection</x:t>
  </x:si>
  <x:si>
    <x:t xml:space="preserve">Radius / thickness</x:t>
  </x:si>
  <x:si>
    <x:t xml:space="preserve">Constraint</x:t>
  </x:si>
  <x:si>
    <x:t xml:space="preserve">Utilization</x:t>
  </x:si>
  <x:si>
    <x:t xml:space="preserve">Limit</x:t>
  </x:si>
  <x:si>
    <x:t xml:space="preserve">Normalized g</x:t>
  </x:si>
  <x:si>
    <x:t xml:space="preserve">Activity</x:t>
  </x:si>
  <x:si>
    <x:t xml:space="preserve">Axial stress</x:t>
  </x:si>
  <x:si>
    <x:t xml:space="preserve">R/t</x:t>
  </x:si>
  <x:si>
    <x:t xml:space="preserve">Method</x:t>
  </x:si>
  <x:si>
    <x:t xml:space="preserve">Mass (kg)</x:t>
  </x:si>
  <x:si>
    <x:t xml:space="preserve">Radius (cm)</x:t>
  </x:si>
  <x:si>
    <x:t xml:space="preserve">Thickness (cm)</x:t>
  </x:si>
  <x:si>
    <x:t xml:space="preserve">Analytical representative</x:t>
  </x:si>
  <x:si>
    <x:t xml:space="preserve">Python SLSQP snapshot</x:t>
  </x:si>
  <x:si>
    <x:t xml:space="preserve">Excel Solver result</x:t>
  </x:si>
  <x:si>
    <x:t xml:space="preserve">Solver execution</x:t>
  </x:si>
  <x:si>
    <x:t xml:space="preserve">Executed through Excel COM</x:t>
  </x:si>
  <x:si>
    <x:t xml:space="preserve">Solver return code</x:t>
  </x:si>
  <x:si>
    <x:t xml:space="preserve">Nonunique optimum: any feasible point on Rt = 1/pi cm^2 has mass 4.68 kg.</x:t>
  </x:si>
  <x:si>
    <x:t xml:space="preserve">Excel may select different dimensions with the same optimal mass; compare feasibility and mass.</x:t>
  </x:si>
  <x:si>
    <x:t xml:space="preserve">Source: official CE587 Homework 1, Fall 2026-2027, page 1.</x:t>
  </x:si>
  <x:si>
    <x:t xml:space="preserve">Consistent thin-wall approximations: A = 2*pi*R*t and I = pi*R^3*t; separate load cases.</x:t>
  </x:si>
  <x:si>
    <x:t xml:space="preserve">Solver configuration</x:t>
  </x:si>
  <x:si>
    <x:t xml:space="preserve">Value</x:t>
  </x:si>
  <x:si>
    <x:t xml:space="preserve">Objective</x:t>
  </x:si>
  <x:si>
    <x:t xml:space="preserve">Q1_BeamColumn!B4; minimize</x:t>
  </x:si>
  <x:si>
    <x:t xml:space="preserve">Changing cells</x:t>
  </x:si>
  <x:si>
    <x:t xml:space="preserve">Q1_BeamColumn!B7:B8 (cm)</x:t>
  </x:si>
  <x:si>
    <x:t xml:space="preserve">Constraints</x:t>
  </x:si>
  <x:si>
    <x:t xml:space="preserve">Q1_BeamColumn!B29:B35 &lt;= Q1_BeamColumn!C29:C35</x:t>
  </x:si>
  <x:si>
    <x:t xml:space="preserve">Explicit radius bounds</x:t>
  </x:si>
  <x:si>
    <x:t xml:space="preserve">2 &lt;= B7 &lt;= 20 cm (named limits G11:G12)</x:t>
  </x:si>
  <x:si>
    <x:t xml:space="preserve">Explicit thickness bounds</x:t>
  </x:si>
  <x:si>
    <x:t xml:space="preserve">0.1 &lt;= B8 &lt;= 1 cm (named limits G13:G14)</x:t>
  </x:si>
  <x:si>
    <x:t xml:space="preserve">GRG Nonlinear</x:t>
  </x:si>
  <x:si>
    <x:t xml:space="preserve">Precision / convergence</x:t>
  </x:si>
  <x:si>
    <x:t xml:space="preserve">1E-9 / 1E-9</x:t>
  </x:si>
  <x:si>
    <x:t xml:space="preserve">Iterations / time</x:t>
  </x:si>
  <x:si>
    <x:t xml:space="preserve">1500 / 100 s</x:t>
  </x:si>
  <x:si>
    <x:t xml:space="preserve">Scaling / derivatives</x:t>
  </x:si>
  <x:si>
    <x:t xml:space="preserve">Automatic / central</x:t>
  </x:si>
  <x:si>
    <x:t xml:space="preserve">Initial design</x:t>
  </x:si>
  <x:si>
    <x:t xml:space="preserve">R = 3 cm; t = 0.15 cm</x:t>
  </x:si>
  <x:si>
    <x:t xml:space="preserve">Saved native model</x:t>
  </x:si>
  <x:si>
    <x:t xml:space="preserve">Q1_BeamColumn!J1:J60 after actual execution</x:t>
  </x:si>
  <x:si>
    <x:t xml:space="preserve">Nonunique optima</x:t>
  </x:si>
  <x:si>
    <x:t xml:space="preserve">Any R in [2, sqrt(20/pi)] cm with t = 1/(pi*R) cm is optimal.</x:t>
  </x:si>
  <x:si>
    <x:t xml:space="preserve">Manual run</x:t>
  </x:si>
  <x:si>
    <x:t xml:space="preserve">Data &gt; Solver: enter these settings, Solve, Keep Solver Solution.</x:t>
  </x:si>
  <x:si>
    <x:t xml:space="preserve">Python comparison</x:t>
  </x:si>
  <x:si>
    <x:t xml:space="preserve">Row 40 is an external executed Python snapshot; structural responses are formulas.</x:t>
  </x:si>
  <x:si>
    <x:t xml:space="preserve">Formula inspection</x:t>
  </x:si>
  <x:si>
    <x:t xml:space="preserve">Select response cells, or Ctrl+` to display all formulas.</x:t>
  </x:si>
  <x:si>
    <x:t xml:space="preserve">Question 1 - Feasible region and nonunique optimal segment</x:t>
  </x:si>
  <x:si>
    <x:t xml:space="preserve">Every red point has mass 4.68 kg. The star marks axial stress = allowable and R/t = 20.</x:t>
  </x:si>
  <x:si>
    <x:t xml:space="preserve">Question 2 - Hollow circular cantilever</x:t>
  </x:si>
  <x:si>
    <x:t xml:space="preserve">Outer radius Ro</x:t>
  </x:si>
  <x:si>
    <x:t xml:space="preserve">Inner radius Ri</x:t>
  </x:si>
  <x:si>
    <x:t xml:space="preserve">Tip load P</x:t>
  </x:si>
  <x:si>
    <x:t xml:space="preserve">Allowable bending stress</x:t>
  </x:si>
  <x:si>
    <x:t xml:space="preserve">Allowable shear stress</x:t>
  </x:si>
  <x:si>
    <x:t xml:space="preserve">Numerical thickness guard</x:t>
  </x:si>
  <x:si>
    <x:t xml:space="preserve">Area</x:t>
  </x:si>
  <x:si>
    <x:t xml:space="preserve">Second moment of area</x:t>
  </x:si>
  <x:si>
    <x:t xml:space="preserve">Bending stress</x:t>
  </x:si>
  <x:si>
    <x:t xml:space="preserve">Shear stress</x:t>
  </x:si>
  <x:si>
    <x:t xml:space="preserve">Wall thickness</x:t>
  </x:si>
  <x:si>
    <x:t xml:space="preserve">Utilization / lhs</x:t>
  </x:si>
  <x:si>
    <x:t xml:space="preserve">Activity (tol 1E-6)</x:t>
  </x:si>
  <x:si>
    <x:t xml:space="preserve">Bending</x:t>
  </x:si>
  <x:si>
    <x:t xml:space="preserve">Shear</x:t>
  </x:si>
  <x:si>
    <x:t xml:space="preserve">Outer radius maximum</x:t>
  </x:si>
  <x:si>
    <x:t xml:space="preserve">Inner radius maximum</x:t>
  </x:si>
  <x:si>
    <x:t xml:space="preserve">Inner radius nonnegative</x:t>
  </x:si>
  <x:si>
    <x:t xml:space="preserve">Strict geometry (guarded)</x:t>
  </x:si>
  <x:si>
    <x:t xml:space="preserve">Model: exact annulus. cm inputs are converted to m in every response.</x:t>
  </x:si>
  <x:si>
    <x:t xml:space="preserve">Source: official CE587 Homework 1, Fall 2026-2027, page 2.</x:t>
  </x:si>
  <x:si>
    <x:t xml:space="preserve">Ri &lt; Ro is strict mathematically. The 1E-8 m guard is numerical only.</x:t>
  </x:si>
  <x:si>
    <x:t xml:space="preserve">Solver mass (kg)</x:t>
  </x:si>
  <x:si>
    <x:t xml:space="preserve">Solver Ro (cm)</x:t>
  </x:si>
  <x:si>
    <x:t xml:space="preserve">Solver Ri (cm)</x:t>
  </x:si>
  <x:si>
    <x:t xml:space="preserve">Equivalent smooth Solver constraints (&lt;= 0); Iref = 0.001 m^4</x:t>
  </x:si>
  <x:si>
    <x:t xml:space="preserve">Bending polynomial residual</x:t>
  </x:si>
  <x:si>
    <x:t xml:space="preserve">Shear polynomial residual</x:t>
  </x:si>
  <x:si>
    <x:t xml:space="preserve">Q2_Cantilever!B4; minimize</x:t>
  </x:si>
  <x:si>
    <x:t xml:space="preserve">Q2_Cantilever!B7:B8</x:t>
  </x:si>
  <x:si>
    <x:t xml:space="preserve">B45:B46 &lt;= 0; B28:B31 &lt;= C28:C31</x:t>
  </x:si>
  <x:si>
    <x:t xml:space="preserve">0 &lt;= B8 &lt;= 40; 0 &lt;= B7 &lt;= 40</x:t>
  </x:si>
  <x:si>
    <x:t xml:space="preserve">Geometry</x:t>
  </x:si>
  <x:si>
    <x:t xml:space="preserve">B22 &gt;= B16 (thickness guard, in m)</x:t>
  </x:si>
  <x:si>
    <x:t xml:space="preserve">2000 / 100 s</x:t>
  </x:si>
  <x:si>
    <x:t xml:space="preserve">Ro = 30 cm, Ri = 20 cm</x:t>
  </x:si>
  <x:si>
    <x:t xml:space="preserve">Native Solver model</x:t>
  </x:si>
  <x:si>
    <x:t xml:space="preserve">Saved to Q2_Cantilever!H1:H60 after execution</x:t>
  </x:si>
  <x:si>
    <x:t xml:space="preserve">Guard sensitivity</x:t>
  </x:si>
  <x:si>
    <x:t xml:space="preserve">Python compares 1E-10, 1E-8 and 1E-6 m; optimum unchanged.</x:t>
  </x:si>
  <x:si>
    <x:t xml:space="preserve">Select any response cell, or use Ctrl+` to display all formulas.</x:t>
  </x:si>
  <x:si>
    <x:t xml:space="preserve">Question 2 - Feasible region and global optimum</x:t>
  </x:si>
  <x:si>
    <x:t xml:space="preserve">Bending controls the composite boundary; shear is redundant for bending-feasible designs.</x:t>
  </x:si>
  <x:si>
    <x:t xml:space="preserve">Question 3 - Minimum-mass tripod</x:t>
  </x:si>
  <x:si>
    <x:t xml:space="preserve">Total mass (objective)</x:t>
  </x:si>
  <x:si>
    <x:t xml:space="preserve">Height H</x:t>
  </x:si>
  <x:si>
    <x:t xml:space="preserve">Strut diameter D</x:t>
  </x:si>
  <x:si>
    <x:t xml:space="preserve">Apex load W</x:t>
  </x:si>
  <x:si>
    <x:t xml:space="preserve">Base side length B</x:t>
  </x:si>
  <x:si>
    <x:t xml:space="preserve">N/cm^2</x:t>
  </x:si>
  <x:si>
    <x:t xml:space="preserve">kg/cm^3</x:t>
  </x:si>
  <x:si>
    <x:t xml:space="preserve">Allowable compression</x:t>
  </x:si>
  <x:si>
    <x:t xml:space="preserve">Buckling safety factor</x:t>
  </x:si>
  <x:si>
    <x:t xml:space="preserve">Strut length l</x:t>
  </x:si>
  <x:si>
    <x:t xml:space="preserve">Strut area A</x:t>
  </x:si>
  <x:si>
    <x:t xml:space="preserve">cm^2</x:t>
  </x:si>
  <x:si>
    <x:t xml:space="preserve">Strut inertia I</x:t>
  </x:si>
  <x:si>
    <x:t xml:space="preserve">cm^4</x:t>
  </x:si>
  <x:si>
    <x:t xml:space="preserve">Force per strut P</x:t>
  </x:si>
  <x:si>
    <x:t xml:space="preserve">Compressive stress</x:t>
  </x:si>
  <x:si>
    <x:t xml:space="preserve">Euler critical load Pcr</x:t>
  </x:si>
  <x:si>
    <x:t xml:space="preserve">Compression</x:t>
  </x:si>
  <x:si>
    <x:t xml:space="preserve">Euler buckling</x:t>
  </x:si>
  <x:si>
    <x:t xml:space="preserve">Minimum height</x:t>
  </x:si>
  <x:si>
    <x:t xml:space="preserve">Maximum height</x:t>
  </x:si>
  <x:si>
    <x:t xml:space="preserve">Minimum diameter</x:t>
  </x:si>
  <x:si>
    <x:t xml:space="preserve">Maximum diameter</x:t>
  </x:si>
  <x:si>
    <x:t xml:space="preserve">Source: official CE587 Homework 1, page 3, aluminum alloy 2014-T6 table.</x:t>
  </x:si>
  <x:si>
    <x:t xml:space="preserve">Mechanics: N and cm. Density: 2800 kg/m^3 = 0.0028 kg/cm^3.</x:t>
  </x:si>
  <x:si>
    <x:t xml:space="preserve">Euler load uses the prescribed strut length; FS is applied once in row 27.</x:t>
  </x:si>
  <x:si>
    <x:t xml:space="preserve">Solver H (cm)</x:t>
  </x:si>
  <x:si>
    <x:t xml:space="preserve">Solver D (cm)</x:t>
  </x:si>
  <x:si>
    <x:t xml:space="preserve">Q3_Tripod!B4; minimize</x:t>
  </x:si>
  <x:si>
    <x:t xml:space="preserve">Q3_Tripod!B7:B8 (cm)</x:t>
  </x:si>
  <x:si>
    <x:t xml:space="preserve">Utilization constraints</x:t>
  </x:si>
  <x:si>
    <x:t xml:space="preserve">Q3_Tripod!B26:B31 &lt;= Q3_Tripod!C26:C31</x:t>
  </x:si>
  <x:si>
    <x:t xml:space="preserve">Explicit height bounds</x:t>
  </x:si>
  <x:si>
    <x:t xml:space="preserve">50 &lt;= B7 &lt;= 200 cm</x:t>
  </x:si>
  <x:si>
    <x:t xml:space="preserve">Explicit diameter bounds</x:t>
  </x:si>
  <x:si>
    <x:t xml:space="preserve">0.5 &lt;= B8 &lt;= 10 cm</x:t>
  </x:si>
  <x:si>
    <x:t xml:space="preserve">H = 100 cm, D = 5 cm</x:t>
  </x:si>
  <x:si>
    <x:t xml:space="preserve">Native model</x:t>
  </x:si>
  <x:si>
    <x:t xml:space="preserve">Saved to Q3_Tripod!H1:H60 after actual execution</x:t>
  </x:si>
  <x:si>
    <x:t xml:space="preserve">Safety factor</x:t>
  </x:si>
  <x:si>
    <x:t xml:space="preserve">Only B27 multiplies P by FS; Pcr itself has no safety factor.</x:t>
  </x:si>
  <x:si>
    <x:t xml:space="preserve">Select a response cell, or Ctrl+` to display all formulas.</x:t>
  </x:si>
  <x:si>
    <x:t xml:space="preserve">Question 3 - Feasible region and governing boundary</x:t>
  </x:si>
  <x:si>
    <x:t xml:space="preserve">Buckling controls throughout 50 &lt;= H &lt;= 200 cm. Amber area passes strength but fails buckling.</x:t>
  </x:si>
</x:sst>
</file>

<file path=xl/styles.xml><?xml version="1.0" encoding="utf-8"?>
<x:styleSheet xmlns:x="http://schemas.openxmlformats.org/spreadsheetml/2006/main">
  <x:numFmts count="5">
    <x:numFmt numFmtId="165" formatCode="0.000000E+00"/>
    <x:numFmt numFmtId="166" formatCode="0.000000000"/>
    <x:numFmt numFmtId="167" formatCode="0.000000000E+00"/>
    <x:numFmt numFmtId="168" formatCode="0.0E+00"/>
    <x:numFmt numFmtId="200" formatCode="0.000000"/>
  </x:numFmts>
  <x:fonts count="9">
    <x:font>
      <x:sz val="11"/>
      <x:color theme="1"/>
      <x:name val="Calibri"/>
      <x:family val="2"/>
      <x:scheme val="minor"/>
    </x:font>
    <x:font>
      <x:sz val="10"/>
      <x:color rgb="FF202D3A"/>
      <x:name val="Arial"/>
      <x:family val="2"/>
    </x:font>
    <x:font>
      <x:b/>
      <x:sz val="14"/>
      <x:color rgb="FF17365D"/>
      <x:name val="Arial"/>
      <x:family val="2"/>
    </x:font>
    <x:font>
      <x:b/>
      <x:sz val="10"/>
      <x:color rgb="FFFFFFFF"/>
      <x:name val="Arial"/>
      <x:family val="2"/>
    </x:font>
    <x:font>
      <x:sz val="10"/>
      <x:color rgb="FF000000"/>
      <x:name val="Arial"/>
      <x:family val="2"/>
    </x:font>
    <x:font>
      <x:sz val="10"/>
      <x:color rgb="FF000000"/>
      <x:name val="Arial"/>
      <x:family val="2"/>
      <x:scheme val="minor"/>
    </x:font>
    <x:font>
      <x:b/>
      <x:sz val="12"/>
      <x:color rgb="FF000000"/>
      <x:name val="Arial"/>
      <x:family val="2"/>
    </x:font>
    <x:font>
      <x:b/>
      <x:sz val="10"/>
      <x:color rgb="FF000000"/>
      <x:name val="Arial"/>
      <x:family val="2"/>
    </x:font>
    <x:font>
      <x:b/>
      <x:sz val="10"/>
      <x:color rgb="FF000000"/>
      <x:name val="Arial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165" fontId="1" fillId="2" borderId="0" xfId="0" applyNumberFormat="1" applyFont="1" applyFill="1" applyAlignment="1">
      <x:alignment vertical="center"/>
    </x:xf>
    <x:xf numFmtId="165" fontId="1" fillId="0" borderId="0" xfId="0" applyNumberFormat="1" applyFont="1" applyAlignment="1">
      <x:alignment vertical="center"/>
    </x:xf>
    <x:xf numFmtId="0" fontId="3" fillId="3" borderId="0" xfId="0" applyFont="1" applyFill="1" applyAlignment="1">
      <x:alignment vertical="center"/>
    </x:xf>
    <x:xf numFmtId="166" fontId="1" fillId="0" borderId="0" xfId="0" applyNumberFormat="1" applyFont="1" applyAlignment="1">
      <x:alignment vertical="center"/>
    </x:xf>
    <x:xf numFmtId="166" fontId="1" fillId="2" borderId="0" xfId="0" applyNumberFormat="1" applyFont="1" applyFill="1" applyAlignment="1">
      <x:alignment vertical="center"/>
    </x:xf>
    <x:xf numFmtId="167" fontId="1" fillId="2" borderId="0" xfId="0" applyNumberFormat="1" applyFont="1" applyFill="1" applyAlignment="1">
      <x:alignment vertical="center"/>
    </x:xf>
    <x:xf numFmtId="167" fontId="1" fillId="0" borderId="0" xfId="0" applyNumberFormat="1" applyFont="1" applyAlignment="1">
      <x:alignment vertical="center"/>
    </x:xf>
    <x:xf numFmtId="166" fontId="3" fillId="3" borderId="0" xfId="0" applyNumberFormat="1" applyFont="1" applyFill="1" applyAlignment="1">
      <x:alignment vertical="center"/>
    </x:xf>
    <x:xf numFmtId="166" fontId="0" fillId="0" borderId="0" xfId="0" applyNumberFormat="1"/>
    <x:xf numFmtId="168" fontId="1" fillId="2" borderId="0" xfId="0" applyNumberFormat="1" applyFont="1" applyFill="1" applyAlignment="1">
      <x:alignment vertical="center"/>
    </x:xf>
    <x:xf numFmtId="0" fontId="1" borderId="0" xfId="0" applyNumberFormat="1" applyFont="1" applyFill="0" applyBorder="1" applyAlignment="1">
      <x:alignment vertical="center"/>
    </x:xf>
    <x:xf numFmtId="166" fontId="1" borderId="0" xfId="0" applyNumberFormat="1" applyFont="1" applyFill="0" applyBorder="1" applyAlignment="1">
      <x:alignment vertical="center"/>
    </x:xf>
    <x:xf numFmtId="0" fontId="0" borderId="0" xfId="0" applyNumberFormat="1" applyFont="1" applyFill="0" applyBorder="1"/>
    <x:xf numFmtId="166" fontId="0" borderId="0" xfId="0" applyNumberFormat="1" applyFont="1" applyFill="0" applyBorder="1"/>
    <x:xf numFmtId="0" fontId="2" borderId="0" xfId="0" applyNumberFormat="1" applyFont="1" applyFill="0" applyBorder="1" applyAlignment="1">
      <x:alignment vertical="center"/>
    </x:xf>
    <x:xf numFmtId="165" fontId="1" borderId="0" xfId="0" applyNumberFormat="1" applyFont="1" applyFill="0" applyBorder="1" applyAlignment="1">
      <x:alignment vertical="center"/>
    </x:xf>
    <x:xf numFmtId="168" fontId="1" borderId="0" xfId="0" applyNumberFormat="1" applyFont="1" applyFill="0" applyBorder="1" applyAlignment="1">
      <x:alignment vertical="center"/>
    </x:xf>
    <x:xf numFmtId="0" fontId="3" borderId="0" xfId="0" applyNumberFormat="1" applyFont="1" applyFill="0" applyBorder="1" applyAlignment="1">
      <x:alignment vertical="center"/>
    </x:xf>
    <x:xf numFmtId="166" fontId="3" borderId="0" xfId="0" applyNumberFormat="1" applyFont="1" applyFill="0" applyBorder="1" applyAlignment="1">
      <x:alignment vertical="center"/>
    </x:xf>
    <x:xf numFmtId="0" fontId="4" borderId="0" xfId="0" applyNumberFormat="1" applyFont="1" applyFill="0" applyBorder="1" applyAlignment="1">
      <x:alignment vertical="center"/>
    </x:xf>
    <x:xf numFmtId="166" fontId="4" borderId="0" xfId="0" applyNumberFormat="1" applyFont="1" applyFill="0" applyBorder="1" applyAlignment="1">
      <x:alignment vertical="center"/>
    </x:xf>
    <x:xf numFmtId="0" fontId="5" borderId="0" xfId="0" applyNumberFormat="1" applyFont="1" applyFill="0" applyBorder="1"/>
    <x:xf numFmtId="166" fontId="5" borderId="0" xfId="0" applyNumberFormat="1" applyFont="1" applyFill="0" applyBorder="1"/>
    <x:xf numFmtId="165" fontId="4" borderId="0" xfId="0" applyNumberFormat="1" applyFont="1" applyFill="0" applyBorder="1" applyAlignment="1">
      <x:alignment vertical="center"/>
    </x:xf>
    <x:xf numFmtId="168" fontId="4" borderId="0" xfId="0" applyNumberFormat="1" applyFont="1" applyFill="0" applyBorder="1" applyAlignment="1">
      <x:alignment vertical="center"/>
    </x:xf>
    <x:xf numFmtId="0" fontId="5" borderId="0" xfId="0" applyNumberFormat="1" applyFont="1" applyFill="0" applyBorder="1" applyAlignment="1">
      <x:alignment vertical="center"/>
    </x:xf>
    <x:xf numFmtId="166" fontId="5" borderId="0" xfId="0" applyNumberFormat="1" applyFont="1" applyFill="0" applyBorder="1" applyAlignment="1">
      <x:alignment vertical="center"/>
    </x:xf>
    <x:xf numFmtId="200" fontId="4" borderId="0" xfId="0" applyNumberFormat="1" applyFont="1" applyFill="0" applyBorder="1" applyAlignment="1">
      <x:alignment vertical="center"/>
    </x:xf>
    <x:xf numFmtId="0" fontId="6" borderId="0" xfId="0" applyNumberFormat="1" applyFont="1" applyFill="0" applyBorder="1" applyAlignment="1">
      <x:alignment vertical="center"/>
    </x:xf>
    <x:xf numFmtId="0" fontId="7" borderId="0" xfId="0" applyNumberFormat="1" applyFont="1" applyFill="0" applyBorder="1" applyAlignment="1">
      <x:alignment vertical="center"/>
    </x:xf>
    <x:xf numFmtId="166" fontId="7" borderId="0" xfId="0" applyNumberFormat="1" applyFont="1" applyFill="0" applyBorder="1" applyAlignment="1">
      <x:alignment vertical="center"/>
    </x:xf>
    <x:xf numFmtId="0" fontId="8" borderId="0" xfId="0" applyNumberFormat="1" applyFont="1" applyFill="0" applyBorder="1" applyAlignment="1">
      <x:alignment vertical="center"/>
    </x:xf>
    <x:xf numFmtId="0" fontId="7" borderId="1" xfId="0" applyNumberFormat="1" applyFont="1" applyFill="0" applyBorder="1" applyAlignment="1">
      <x:alignment vertical="center"/>
    </x:xf>
    <x:xf numFmtId="166" fontId="7" borderId="1" xfId="0" applyNumberFormat="1" applyFont="1" applyFill="0" applyBorder="1" applyAlignment="1">
      <x:alignment vertical="center"/>
    </x:xf>
    <x:xf numFmtId="0" fontId="8" borderId="1" xfId="0" applyNumberFormat="1" applyFont="1" applyFill="0" applyBorder="1" applyAlignment="1">
      <x:alignment vertical="center"/>
    </x:xf>
    <x:xf numFmtId="167" fontId="1" borderId="0" xfId="0" applyNumberFormat="1" applyFont="1" applyFill="0" applyBorder="1" applyAlignment="1">
      <x:alignment vertical="center"/>
    </x:xf>
    <x:xf numFmtId="167" fontId="4" borderId="0" xfId="0" applyNumberFormat="1" applyFont="1" applyFill="0" applyBorder="1" applyAlignment="1">
      <x:alignment vertical="center"/>
    </x:xf>
  </x:cellXfs>
  <x:cellStyles count="1">
    <x:cellStyle name="Normal" xfId="0"/>
  </x:cellStyles>
  <x:dxfs count="3">
    <x:dxf>
      <x:fill>
        <x:patternFill>
          <x:bgColor rgb="FFFADBD8"/>
        </x:patternFill>
      </x:fill>
    </x:dxf>
    <x:dxf>
      <x:fill>
        <x:patternFill>
          <x:bgColor rgb="FFFADBD8"/>
        </x:patternFill>
      </x:fill>
    </x:dxf>
    <x:dxf>
      <x:fill>
        <x:patternFill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70ffa25c543bb" /><Relationship Type="http://schemas.openxmlformats.org/officeDocument/2006/relationships/theme" Target="/xl/theme/theme1.xml" Id="R5f86a6be90394f9f" /><Relationship Type="http://schemas.openxmlformats.org/officeDocument/2006/relationships/sharedStrings" Target="/xl/sharedStrings.xml" Id="Rcf630fef82464770" /><Relationship Type="http://schemas.openxmlformats.org/officeDocument/2006/relationships/worksheet" Target="/xl/worksheets/sheet1.xml" Id="Reb66d564b226477b" /><Relationship Type="http://schemas.openxmlformats.org/officeDocument/2006/relationships/worksheet" Target="/xl/worksheets/sheet2.xml" Id="R4d954f8312134f38" /><Relationship Type="http://schemas.openxmlformats.org/officeDocument/2006/relationships/worksheet" Target="/xl/worksheets/sheet3.xml" Id="Raba71d65eb7a49f4" /><Relationship Type="http://schemas.openxmlformats.org/officeDocument/2006/relationships/worksheet" Target="/xl/worksheets/sheet4.xml" Id="R715303ee024f47c5" /><Relationship Type="http://schemas.openxmlformats.org/officeDocument/2006/relationships/worksheet" Target="/xl/worksheets/sheet5.xml" Id="Rb334fee24ac84a8b" /><Relationship Type="http://schemas.openxmlformats.org/officeDocument/2006/relationships/worksheet" Target="/xl/worksheets/sheet6.xml" Id="R5c92722d21da4553" /><Relationship Type="http://schemas.openxmlformats.org/officeDocument/2006/relationships/worksheet" Target="/xl/worksheets/sheet7.xml" Id="R0a62567b3a5b4b2c" /><Relationship Type="http://schemas.openxmlformats.org/officeDocument/2006/relationships/worksheet" Target="/xl/worksheets/sheet8.xml" Id="R28754ac3c0e446cf" /><Relationship Type="http://schemas.openxmlformats.org/officeDocument/2006/relationships/worksheet" Target="/xl/worksheets/sheet9.xml" Id="Rf3876e4054874b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30fea7206754e1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e8f05dba95f417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13964497f8c84f8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477500" cy="48577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0fea7206754e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477500" cy="49530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8f05dba95f41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0477500" cy="476250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964497f8c84f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f8724e612624c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6c43fb8eb35548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d7deb4d3fb7f47db" /></Relationships>
</file>

<file path=xl/worksheets/sheet1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31" customWidth="1"/>
    <x:col min="2" max="2" width="23" customWidth="1"/>
    <x:col min="3" max="3" width="19" customWidth="1"/>
    <x:col min="4" max="4" width="24" customWidth="1"/>
    <x:col min="5" max="5" width="16" customWidth="1"/>
    <x:col min="6" max="6" width="24" customWidth="1"/>
    <x:col min="7" max="7" width="19" customWidth="1"/>
    <x:col min="8" max="8" width="12" customWidth="1"/>
    <x:col min="9" max="9" width="3" customWidth="1"/>
    <x:col min="10" max="10" width="18" customWidth="1" hidden="1"/>
    <x:col min="11" max="20" hidden="1"/>
  </x:cols>
  <x:sheetData>
    <x:row r="1" ht="21.950000762939453" customHeight="1">
      <x:c r="A1" s="22"/>
      <x:c r="B1" s="23"/>
      <x:c r="C1" s="23"/>
      <x:c r="D1" s="23"/>
      <x:c r="E1" s="22"/>
      <x:c r="F1" s="22"/>
      <x:c r="G1" s="23"/>
      <x:c r="H1" s="22"/>
      <x:c r="I1" s="28"/>
      <x:c r="J1" s="29">
        <x:f>MIN($B$4)</x:f>
        <x:v>4.6799999993167924</x:v>
      </x:c>
    </x:row>
    <x:row r="2" ht="21.950000762939453" customHeight="1">
      <x:c r="A2" s="31" t="s">
        <x:v>0</x:v>
      </x:c>
      <x:c r="B2" s="23"/>
      <x:c r="C2" s="23"/>
      <x:c r="D2" s="23"/>
      <x:c r="E2" s="22"/>
      <x:c r="F2" s="22"/>
      <x:c r="G2" s="23"/>
      <x:c r="H2" s="22"/>
      <x:c r="I2" s="28"/>
      <x:c r="J2" s="28">
        <x:f>COUNT($B$7:$B$8)</x:f>
        <x:v>2</x:v>
      </x:c>
    </x:row>
    <x:row r="3" ht="21.950000762939453" customHeight="1">
      <x:c r="A3" s="22"/>
      <x:c r="B3" s="23"/>
      <x:c r="C3" s="23"/>
      <x:c r="D3" s="23"/>
      <x:c r="E3" s="22"/>
      <x:c r="F3" s="22"/>
      <x:c r="G3" s="23"/>
      <x:c r="H3" s="22"/>
      <x:c r="I3" s="28"/>
      <x:c r="J3" s="28" t="b">
        <x:f>Q1_t&lt;=Q1_tmax</x:f>
        <x:v>1</x:v>
      </x:c>
    </x:row>
    <x:row r="4" ht="21.950000762939453" customHeight="1">
      <x:c r="A4" s="22" t="s">
        <x:v>1</x:v>
      </x:c>
      <x:c r="B4" s="30">
        <x:f>Q1_rho*B20*Q1_L</x:f>
        <x:v>4.6799999993167924</x:v>
      </x:c>
      <x:c r="C4" s="23" t="s">
        <x:v>2</x:v>
      </x:c>
      <x:c r="D4" s="23"/>
      <x:c r="E4" s="22"/>
      <x:c r="F4" s="22"/>
      <x:c r="G4" s="23"/>
      <x:c r="H4" s="22"/>
      <x:c r="I4" s="28"/>
      <x:c r="J4" s="28" t="b">
        <x:f>Q1_t&gt;=Q1_tmin</x:f>
        <x:v>1</x:v>
      </x:c>
    </x:row>
    <x:row r="5" ht="21.950000762939453" customHeight="1">
      <x:c r="A5" s="22"/>
      <x:c r="B5" s="23"/>
      <x:c r="C5" s="23"/>
      <x:c r="D5" s="23"/>
      <x:c r="E5" s="22"/>
      <x:c r="F5" s="22"/>
      <x:c r="G5" s="23"/>
      <x:c r="H5" s="22"/>
      <x:c r="I5" s="28"/>
      <x:c r="J5" s="28" t="b">
        <x:f>Q1_R&lt;=Q1_Rmax</x:f>
        <x:v>1</x:v>
      </x:c>
    </x:row>
    <x:row r="6" ht="21.950000762939453" customHeight="1">
      <x:c r="A6" s="22"/>
      <x:c r="B6" s="23"/>
      <x:c r="C6" s="23"/>
      <x:c r="D6" s="23"/>
      <x:c r="E6" s="22"/>
      <x:c r="F6" s="22"/>
      <x:c r="G6" s="23"/>
      <x:c r="H6" s="22"/>
      <x:c r="I6" s="28"/>
      <x:c r="J6" s="28" t="b">
        <x:f t="array" ref="J6">$B$29:$B$35&lt;=$C$29:$C$35</x:f>
        <x:v>0</x:v>
      </x:c>
    </x:row>
    <x:row r="7" ht="21.950000762939453" customHeight="1">
      <x:c r="A7" s="22" t="s">
        <x:v>3</x:v>
      </x:c>
      <x:c r="B7" s="30">
        <x:v>2.5231325218359908</x:v>
      </x:c>
      <x:c r="C7" s="23" t="s">
        <x:v>4</x:v>
      </x:c>
      <x:c r="D7" s="23"/>
      <x:c r="E7" s="22"/>
      <x:c r="F7" s="22"/>
      <x:c r="G7" s="23"/>
      <x:c r="H7" s="22"/>
      <x:c r="I7" s="28"/>
      <x:c r="J7" s="28" t="b">
        <x:f>Q1_R&gt;=Q1_Rmin</x:f>
        <x:v>1</x:v>
      </x:c>
    </x:row>
    <x:row r="8" ht="21.950000762939453" customHeight="1">
      <x:c r="A8" s="22" t="s">
        <x:v>5</x:v>
      </x:c>
      <x:c r="B8" s="30">
        <x:v>0.12615662609179956</x:v>
      </x:c>
      <x:c r="C8" s="23" t="s">
        <x:v>4</x:v>
      </x:c>
      <x:c r="D8" s="23"/>
      <x:c r="E8" s="22"/>
      <x:c r="F8" s="22"/>
      <x:c r="G8" s="23"/>
      <x:c r="H8" s="22"/>
      <x:c r="I8" s="28"/>
      <x:c r="J8" s="28">
        <x:f>{100,1500,0.000000001,0.05,FALSE,FALSE,TRUE,1,2,1,0.000000001,TRUE}</x:f>
        <x:v>100</x:v>
      </x:c>
    </x:row>
    <x:row r="9" ht="21.950000762939453" customHeight="1">
      <x:c r="A9" s="22"/>
      <x:c r="B9" s="23"/>
      <x:c r="C9" s="23"/>
      <x:c r="D9" s="23"/>
      <x:c r="E9" s="22"/>
      <x:c r="F9" s="22"/>
      <x:c r="G9" s="23"/>
      <x:c r="H9" s="22"/>
      <x:c r="I9" s="28"/>
      <x:c r="J9" s="28">
        <x:f>{100,1500,1,100,0,FALSE,FALSE,0.075,0,0,FALSE,30}</x:f>
        <x:v>100</x:v>
      </x:c>
    </x:row>
    <x:row r="10" ht="21.950000762939453" customHeight="1">
      <x:c r="A10" s="22"/>
      <x:c r="B10" s="23"/>
      <x:c r="C10" s="23"/>
      <x:c r="D10" s="23"/>
      <x:c r="E10" s="22"/>
      <x:c r="F10" s="22"/>
      <x:c r="G10" s="23"/>
      <x:c r="H10" s="22"/>
      <x:c r="I10" s="28"/>
      <x:c r="J10" s="28"/>
    </x:row>
    <x:row r="11" ht="21.950000762939453" customHeight="1">
      <x:c r="A11" s="22" t="s">
        <x:v>6</x:v>
      </x:c>
      <x:c r="B11" s="23">
        <x:v>3</x:v>
      </x:c>
      <x:c r="C11" s="23" t="s">
        <x:v>7</x:v>
      </x:c>
      <x:c r="D11" s="23"/>
      <x:c r="E11" s="22"/>
      <x:c r="F11" s="22" t="s">
        <x:v>8</x:v>
      </x:c>
      <x:c r="G11" s="23">
        <x:v>2</x:v>
      </x:c>
      <x:c r="H11" s="22" t="s">
        <x:v>4</x:v>
      </x:c>
      <x:c r="I11" s="28"/>
      <x:c r="J11" s="28"/>
    </x:row>
    <x:row r="12" ht="21.950000762939453" customHeight="1">
      <x:c r="A12" s="22" t="s">
        <x:v>9</x:v>
      </x:c>
      <x:c r="B12" s="23">
        <x:v>50000</x:v>
      </x:c>
      <x:c r="C12" s="23" t="s">
        <x:v>10</x:v>
      </x:c>
      <x:c r="D12" s="23"/>
      <x:c r="E12" s="22"/>
      <x:c r="F12" s="22" t="s">
        <x:v>11</x:v>
      </x:c>
      <x:c r="G12" s="23">
        <x:v>20</x:v>
      </x:c>
      <x:c r="H12" s="22" t="s">
        <x:v>4</x:v>
      </x:c>
      <x:c r="I12" s="28"/>
      <x:c r="J12" s="28"/>
    </x:row>
    <x:row r="13" ht="21.950000762939453" customHeight="1">
      <x:c r="A13" s="22" t="s">
        <x:v>12</x:v>
      </x:c>
      <x:c r="B13" s="26">
        <x:v>210000000000</x:v>
      </x:c>
      <x:c r="C13" s="23" t="s">
        <x:v>13</x:v>
      </x:c>
      <x:c r="D13" s="23"/>
      <x:c r="E13" s="22"/>
      <x:c r="F13" s="22" t="s">
        <x:v>14</x:v>
      </x:c>
      <x:c r="G13" s="23">
        <x:v>0.1</x:v>
      </x:c>
      <x:c r="H13" s="22" t="s">
        <x:v>4</x:v>
      </x:c>
      <x:c r="I13" s="28"/>
      <x:c r="J13" s="28"/>
    </x:row>
    <x:row r="14" ht="21.950000762939453" customHeight="1">
      <x:c r="A14" s="22" t="s">
        <x:v>15</x:v>
      </x:c>
      <x:c r="B14" s="23">
        <x:v>7800</x:v>
      </x:c>
      <x:c r="C14" s="23" t="s">
        <x:v>16</x:v>
      </x:c>
      <x:c r="D14" s="23"/>
      <x:c r="E14" s="22"/>
      <x:c r="F14" s="22" t="s">
        <x:v>17</x:v>
      </x:c>
      <x:c r="G14" s="23">
        <x:v>1</x:v>
      </x:c>
      <x:c r="H14" s="22" t="s">
        <x:v>4</x:v>
      </x:c>
      <x:c r="I14" s="28"/>
      <x:c r="J14" s="28"/>
    </x:row>
    <x:row r="15" ht="21.950000762939453" customHeight="1">
      <x:c r="A15" s="22" t="s">
        <x:v>18</x:v>
      </x:c>
      <x:c r="B15" s="26">
        <x:v>250000000</x:v>
      </x:c>
      <x:c r="C15" s="23" t="s">
        <x:v>13</x:v>
      </x:c>
      <x:c r="D15" s="23"/>
      <x:c r="E15" s="22"/>
      <x:c r="F15" s="22" t="s">
        <x:v>19</x:v>
      </x:c>
      <x:c r="G15" s="23">
        <x:v>20</x:v>
      </x:c>
      <x:c r="H15" s="22" t="s">
        <x:v>20</x:v>
      </x:c>
      <x:c r="I15" s="28"/>
      <x:c r="J15" s="28"/>
    </x:row>
    <x:row r="16" ht="21.950000762939453" customHeight="1">
      <x:c r="A16" s="22" t="s">
        <x:v>21</x:v>
      </x:c>
      <x:c r="B16" s="23">
        <x:v>9.8000000000000007</x:v>
      </x:c>
      <x:c r="C16" s="23" t="s">
        <x:v>22</x:v>
      </x:c>
      <x:c r="D16" s="23"/>
      <x:c r="E16" s="22"/>
      <x:c r="F16" s="22" t="s">
        <x:v>23</x:v>
      </x:c>
      <x:c r="G16" s="23">
        <x:f>Q1_delta_fraction*Q1_L</x:f>
        <x:v>3.0000000000000001E-3</x:v>
      </x:c>
      <x:c r="H16" s="22" t="s">
        <x:v>7</x:v>
      </x:c>
      <x:c r="I16" s="28"/>
      <x:c r="J16" s="28"/>
    </x:row>
    <x:row r="17" ht="21.950000762939453" customHeight="1">
      <x:c r="A17" s="22" t="s">
        <x:v>24</x:v>
      </x:c>
      <x:c r="B17" s="23">
        <x:v>1E-3</x:v>
      </x:c>
      <x:c r="C17" s="23" t="s">
        <x:v>20</x:v>
      </x:c>
      <x:c r="D17" s="23"/>
      <x:c r="E17" s="22"/>
      <x:c r="F17" s="22" t="s">
        <x:v>25</x:v>
      </x:c>
      <x:c r="G17" s="27">
        <x:v>9.9999999999999995E-8</x:v>
      </x:c>
      <x:c r="H17" s="22" t="s">
        <x:v>20</x:v>
      </x:c>
      <x:c r="I17" s="28"/>
      <x:c r="J17" s="28"/>
    </x:row>
    <x:row r="18" ht="21.950000762939453" customHeight="1">
      <x:c r="A18" s="22"/>
      <x:c r="B18" s="23"/>
      <x:c r="C18" s="23"/>
      <x:c r="D18" s="23"/>
      <x:c r="E18" s="22"/>
      <x:c r="F18" s="22" t="s">
        <x:v>26</x:v>
      </x:c>
      <x:c r="G18" s="27">
        <x:v>9.9999999999999995E-7</x:v>
      </x:c>
      <x:c r="H18" s="22" t="s">
        <x:v>20</x:v>
      </x:c>
      <x:c r="I18" s="28"/>
      <x:c r="J18" s="28"/>
    </x:row>
    <x:row r="19" ht="21.950000762939453" customHeight="1">
      <x:c r="A19" s="22"/>
      <x:c r="B19" s="23"/>
      <x:c r="C19" s="23"/>
      <x:c r="D19" s="23"/>
      <x:c r="E19" s="22"/>
      <x:c r="F19" s="22"/>
      <x:c r="G19" s="23"/>
      <x:c r="H19" s="22"/>
      <x:c r="I19" s="28"/>
      <x:c r="J19" s="28"/>
    </x:row>
    <x:row r="20" ht="21.950000762939453" customHeight="1">
      <x:c r="A20" s="22" t="s">
        <x:v>27</x:v>
      </x:c>
      <x:c r="B20" s="26">
        <x:f>2*PI()*(Q1_R/100)*(Q1_t/100)</x:f>
        <x:v>1.999999999708031E-4</x:v>
      </x:c>
      <x:c r="C20" s="23" t="s">
        <x:v>28</x:v>
      </x:c>
      <x:c r="D20" s="23"/>
      <x:c r="E20" s="22"/>
      <x:c r="F20" s="22"/>
      <x:c r="G20" s="23"/>
      <x:c r="H20" s="22"/>
      <x:c r="I20" s="28"/>
      <x:c r="J20" s="28"/>
    </x:row>
    <x:row r="21" ht="21.950000762939453" customHeight="1">
      <x:c r="A21" s="22" t="s">
        <x:v>29</x:v>
      </x:c>
      <x:c r="B21" s="26">
        <x:f>PI()*(Q1_R/100)^3*(Q1_t/100)</x:f>
        <x:v>6.3661977218170806E-8</x:v>
      </x:c>
      <x:c r="C21" s="23" t="s">
        <x:v>30</x:v>
      </x:c>
      <x:c r="D21" s="23"/>
      <x:c r="E21" s="22"/>
      <x:c r="F21" s="22"/>
      <x:c r="G21" s="23"/>
      <x:c r="H21" s="22"/>
      <x:c r="I21" s="28"/>
      <x:c r="J21" s="28"/>
    </x:row>
    <x:row r="22" ht="21.950000762939453" customHeight="1">
      <x:c r="A22" s="22" t="s">
        <x:v>31</x:v>
      </x:c>
      <x:c r="B22" s="26">
        <x:f>Q1_rho*Q1_gravity*B20</x:f>
        <x:v>15.287999997768189</x:v>
      </x:c>
      <x:c r="C22" s="23" t="s">
        <x:v>32</x:v>
      </x:c>
      <x:c r="D22" s="23"/>
      <x:c r="E22" s="22"/>
      <x:c r="F22" s="22"/>
      <x:c r="G22" s="23"/>
      <x:c r="H22" s="22"/>
      <x:c r="I22" s="28"/>
      <x:c r="J22" s="28"/>
    </x:row>
    <x:row r="23" ht="21.950000762939453" customHeight="1">
      <x:c r="A23" s="22" t="s">
        <x:v>33</x:v>
      </x:c>
      <x:c r="B23" s="26">
        <x:f>Q1_P/B20</x:f>
        <x:v>250000000.03649613</x:v>
      </x:c>
      <x:c r="C23" s="23" t="s">
        <x:v>13</x:v>
      </x:c>
      <x:c r="D23" s="23"/>
      <x:c r="E23" s="22"/>
      <x:c r="F23" s="22"/>
      <x:c r="G23" s="23"/>
      <x:c r="H23" s="22"/>
      <x:c r="I23" s="28"/>
      <x:c r="J23" s="28"/>
    </x:row>
    <x:row r="24" ht="21.950000762939453" customHeight="1">
      <x:c r="A24" s="22" t="s">
        <x:v>34</x:v>
      </x:c>
      <x:c r="B24" s="26">
        <x:f>5*B22*Q1_L^4/(384*Q1_E*B21)</x:f>
        <x:v>1.2060770548432754E-3</x:v>
      </x:c>
      <x:c r="C24" s="23" t="s">
        <x:v>7</x:v>
      </x:c>
      <x:c r="D24" s="23"/>
      <x:c r="E24" s="22"/>
      <x:c r="F24" s="22"/>
      <x:c r="G24" s="23"/>
      <x:c r="H24" s="22"/>
      <x:c r="I24" s="28"/>
      <x:c r="J24" s="28"/>
    </x:row>
    <x:row r="25" ht="21.950000762939453" customHeight="1">
      <x:c r="A25" s="22" t="s">
        <x:v>35</x:v>
      </x:c>
      <x:c r="B25" s="23">
        <x:f>Q1_R/Q1_t</x:f>
        <x:v>19.999999999999996</x:v>
      </x:c>
      <x:c r="C25" s="23" t="s">
        <x:v>20</x:v>
      </x:c>
      <x:c r="D25" s="23"/>
      <x:c r="E25" s="22"/>
      <x:c r="F25" s="22"/>
      <x:c r="G25" s="23"/>
      <x:c r="H25" s="22"/>
      <x:c r="I25" s="28"/>
      <x:c r="J25" s="28"/>
    </x:row>
    <x:row r="26" ht="21.950000762939453" customHeight="1">
      <x:c r="A26" s="22"/>
      <x:c r="B26" s="23"/>
      <x:c r="C26" s="23"/>
      <x:c r="D26" s="23"/>
      <x:c r="E26" s="22"/>
      <x:c r="F26" s="22"/>
      <x:c r="G26" s="23"/>
      <x:c r="H26" s="22"/>
      <x:c r="I26" s="28"/>
      <x:c r="J26" s="28"/>
    </x:row>
    <x:row r="27" ht="21.950000762939453" customHeight="1">
      <x:c r="A27" s="22"/>
      <x:c r="B27" s="23"/>
      <x:c r="C27" s="23"/>
      <x:c r="D27" s="23"/>
      <x:c r="E27" s="22"/>
      <x:c r="F27" s="22"/>
      <x:c r="G27" s="23"/>
      <x:c r="H27" s="22"/>
      <x:c r="I27" s="28"/>
      <x:c r="J27" s="28"/>
    </x:row>
    <x:row r="28" ht="21.950000762939453" customHeight="1">
      <x:c r="A28" s="35" t="s">
        <x:v>36</x:v>
      </x:c>
      <x:c r="B28" s="36" t="s">
        <x:v>37</x:v>
      </x:c>
      <x:c r="C28" s="36" t="s">
        <x:v>38</x:v>
      </x:c>
      <x:c r="D28" s="36" t="s">
        <x:v>39</x:v>
      </x:c>
      <x:c r="E28" s="35" t="s">
        <x:v>40</x:v>
      </x:c>
      <x:c r="F28" s="35"/>
      <x:c r="G28" s="36"/>
      <x:c r="H28" s="35"/>
      <x:c r="I28" s="37"/>
      <x:c r="J28" s="37"/>
    </x:row>
    <x:row r="29" ht="21.950000762939453" customHeight="1">
      <x:c r="A29" s="22" t="s">
        <x:v>41</x:v>
      </x:c>
      <x:c r="B29" s="23">
        <x:f>B23/Q1_sigma</x:f>
        <x:v>1.0000000001459846</x:v>
      </x:c>
      <x:c r="C29" s="23">
        <x:v>1</x:v>
      </x:c>
      <x:c r="D29" s="23">
        <x:f t="shared" ref="D29:D35" si="0">B29-1</x:f>
        <x:v>1.4598455777559138E-10</x:v>
      </x:c>
      <x:c r="E29" s="22" t="str">
        <x:f t="shared" ref="E29:E35" si="1">IF(D29&gt;Q1_feas_tol,"VIOLATED",IF(ABS(D29)&lt;=Q1_active_tol,"Active","Inactive"))</x:f>
        <x:v>Active</x:v>
      </x:c>
      <x:c r="F29" s="22"/>
      <x:c r="G29" s="23"/>
      <x:c r="H29" s="22"/>
      <x:c r="I29" s="28"/>
      <x:c r="J29" s="28"/>
    </x:row>
    <x:row r="30" ht="21.950000762939453" customHeight="1">
      <x:c r="A30" s="22" t="s">
        <x:v>34</x:v>
      </x:c>
      <x:c r="B30" s="23">
        <x:f>B24/Q1_delta_allow</x:f>
        <x:v>0.40202568494775848</x:v>
      </x:c>
      <x:c r="C30" s="23">
        <x:v>1</x:v>
      </x:c>
      <x:c r="D30" s="23">
        <x:f t="shared" si="0"/>
        <x:v>-0.59797431505224152</x:v>
      </x:c>
      <x:c r="E30" s="22" t="str">
        <x:f t="shared" si="1"/>
        <x:v>Inactive</x:v>
      </x:c>
      <x:c r="F30" s="22"/>
      <x:c r="G30" s="23"/>
      <x:c r="H30" s="22"/>
      <x:c r="I30" s="28"/>
      <x:c r="J30" s="28"/>
    </x:row>
    <x:row r="31" ht="21.950000762939453" customHeight="1">
      <x:c r="A31" s="22" t="s">
        <x:v>42</x:v>
      </x:c>
      <x:c r="B31" s="23">
        <x:f>B25/Q1_ratio_max</x:f>
        <x:v>0.99999999999999978</x:v>
      </x:c>
      <x:c r="C31" s="23">
        <x:v>1</x:v>
      </x:c>
      <x:c r="D31" s="23">
        <x:f t="shared" si="0"/>
        <x:v>0</x:v>
      </x:c>
      <x:c r="E31" s="22" t="str">
        <x:f t="shared" si="1"/>
        <x:v>Active</x:v>
      </x:c>
      <x:c r="F31" s="22"/>
      <x:c r="G31" s="23"/>
      <x:c r="H31" s="22"/>
      <x:c r="I31" s="28"/>
      <x:c r="J31" s="28"/>
    </x:row>
    <x:row r="32" ht="21.950000762939453" customHeight="1">
      <x:c r="A32" s="22" t="s">
        <x:v>8</x:v>
      </x:c>
      <x:c r="B32" s="23">
        <x:f>Q1_Rmin/Q1_R</x:f>
        <x:v>0.79266545957906065</x:v>
      </x:c>
      <x:c r="C32" s="23">
        <x:v>1</x:v>
      </x:c>
      <x:c r="D32" s="23">
        <x:f t="shared" si="0"/>
        <x:v>-0.20733454042093935</x:v>
      </x:c>
      <x:c r="E32" s="22" t="str">
        <x:f t="shared" si="1"/>
        <x:v>Inactive</x:v>
      </x:c>
      <x:c r="F32" s="22"/>
      <x:c r="G32" s="23"/>
      <x:c r="H32" s="22"/>
      <x:c r="I32" s="28"/>
      <x:c r="J32" s="28"/>
    </x:row>
    <x:row r="33" ht="21.950000762939453" customHeight="1">
      <x:c r="A33" s="22" t="s">
        <x:v>11</x:v>
      </x:c>
      <x:c r="B33" s="23">
        <x:f>Q1_R/Q1_Rmax</x:f>
        <x:v>0.12615662609179953</x:v>
      </x:c>
      <x:c r="C33" s="23">
        <x:v>1</x:v>
      </x:c>
      <x:c r="D33" s="23">
        <x:f t="shared" si="0"/>
        <x:v>-0.87384337390820044</x:v>
      </x:c>
      <x:c r="E33" s="22" t="str">
        <x:f t="shared" si="1"/>
        <x:v>Inactive</x:v>
      </x:c>
      <x:c r="F33" s="22"/>
      <x:c r="G33" s="23"/>
      <x:c r="H33" s="22"/>
      <x:c r="I33" s="28"/>
      <x:c r="J33" s="28"/>
    </x:row>
    <x:row r="34" ht="21.950000762939453" customHeight="1">
      <x:c r="A34" s="22" t="s">
        <x:v>14</x:v>
      </x:c>
      <x:c r="B34" s="23">
        <x:f>Q1_tmin/Q1_t</x:f>
        <x:v>0.79266545957906054</x:v>
      </x:c>
      <x:c r="C34" s="23">
        <x:v>1</x:v>
      </x:c>
      <x:c r="D34" s="23">
        <x:f t="shared" si="0"/>
        <x:v>-0.20733454042093946</x:v>
      </x:c>
      <x:c r="E34" s="22" t="str">
        <x:f t="shared" si="1"/>
        <x:v>Inactive</x:v>
      </x:c>
      <x:c r="F34" s="22"/>
      <x:c r="G34" s="23"/>
      <x:c r="H34" s="22"/>
      <x:c r="I34" s="28"/>
      <x:c r="J34" s="28"/>
    </x:row>
    <x:row r="35" ht="21.950000762939453" customHeight="1">
      <x:c r="A35" s="22" t="s">
        <x:v>17</x:v>
      </x:c>
      <x:c r="B35" s="23">
        <x:f>Q1_t/Q1_tmax</x:f>
        <x:v>0.12615662609179956</x:v>
      </x:c>
      <x:c r="C35" s="23">
        <x:v>1</x:v>
      </x:c>
      <x:c r="D35" s="23">
        <x:f t="shared" si="0"/>
        <x:v>-0.87384337390820044</x:v>
      </x:c>
      <x:c r="E35" s="22" t="str">
        <x:f t="shared" si="1"/>
        <x:v>Inactive</x:v>
      </x:c>
      <x:c r="F35" s="22"/>
      <x:c r="G35" s="23"/>
      <x:c r="H35" s="22"/>
      <x:c r="I35" s="28"/>
      <x:c r="J35" s="28"/>
    </x:row>
    <x:row r="36" ht="21.950000762939453" customHeight="1">
      <x:c r="A36" s="22"/>
      <x:c r="B36" s="23"/>
      <x:c r="C36" s="23"/>
      <x:c r="D36" s="23"/>
      <x:c r="E36" s="22"/>
      <x:c r="F36" s="22"/>
      <x:c r="G36" s="23"/>
      <x:c r="H36" s="22"/>
      <x:c r="I36" s="28"/>
      <x:c r="J36" s="28"/>
    </x:row>
    <x:row r="37" ht="21.950000762939453" customHeight="1">
      <x:c r="A37" s="22"/>
      <x:c r="B37" s="23"/>
      <x:c r="C37" s="23"/>
      <x:c r="D37" s="23"/>
      <x:c r="E37" s="22"/>
      <x:c r="F37" s="22"/>
      <x:c r="G37" s="23"/>
      <x:c r="H37" s="22"/>
      <x:c r="I37" s="28"/>
      <x:c r="J37" s="28"/>
    </x:row>
    <x:row r="38" ht="21.950000762939453" customHeight="1">
      <x:c r="A38" s="35" t="s">
        <x:v>43</x:v>
      </x:c>
      <x:c r="B38" s="36" t="s">
        <x:v>44</x:v>
      </x:c>
      <x:c r="C38" s="36" t="s">
        <x:v>45</x:v>
      </x:c>
      <x:c r="D38" s="36" t="s">
        <x:v>46</x:v>
      </x:c>
      <x:c r="E38" s="35"/>
      <x:c r="F38" s="35"/>
      <x:c r="G38" s="36"/>
      <x:c r="H38" s="35"/>
      <x:c r="I38" s="37"/>
      <x:c r="J38" s="37"/>
    </x:row>
    <x:row r="39" ht="21.950000762939453" customHeight="1">
      <x:c r="A39" s="22" t="s">
        <x:v>47</x:v>
      </x:c>
      <x:c r="B39" s="23">
        <x:f>Q1_rho*Q1_L*Q1_P/Q1_sigma</x:f>
        <x:v>4.68</x:v>
      </x:c>
      <x:c r="C39" s="23">
        <x:f>SQRT(Q1_ratio_max*Q1_P/(2*PI()*Q1_sigma))*100</x:f>
        <x:v>2.5231325220201604</x:v>
      </x:c>
      <x:c r="D39" s="23">
        <x:f>C39/Q1_ratio_max</x:f>
        <x:v>0.12615662610100803</x:v>
      </x:c>
      <x:c r="E39" s="22"/>
      <x:c r="F39" s="22"/>
      <x:c r="G39" s="23"/>
      <x:c r="H39" s="22"/>
      <x:c r="I39" s="28"/>
      <x:c r="J39" s="28"/>
    </x:row>
    <x:row r="40" ht="21.950000762939453" customHeight="1">
      <x:c r="A40" s="22" t="inlineStr">
        <x:is>
          <x:t>Python result</x:t>
        </x:is>
      </x:c>
      <x:c r="B40" s="23">
        <x:v>4.6800000000000024</x:v>
      </x:c>
      <x:c r="C40" s="23">
        <x:v>2.5231325220201599</x:v>
      </x:c>
      <x:c r="D40" s="23">
        <x:v>0.12615662610100811</x:v>
      </x:c>
      <x:c r="E40" s="22"/>
      <x:c r="F40" s="22"/>
      <x:c r="G40" s="23"/>
      <x:c r="H40" s="22"/>
      <x:c r="I40" s="28"/>
      <x:c r="J40" s="28"/>
    </x:row>
    <x:row r="41" ht="21.950000762939453" customHeight="1">
      <x:c r="A41" s="22" t="s">
        <x:v>49</x:v>
      </x:c>
      <x:c r="B41" s="23">
        <x:f>B4</x:f>
        <x:v>4.6799999993167924</x:v>
      </x:c>
      <x:c r="C41" s="23">
        <x:f>B7</x:f>
        <x:v>2.5231325218359908</x:v>
      </x:c>
      <x:c r="D41" s="23">
        <x:f>B8</x:f>
        <x:v>0.12615662609179956</x:v>
      </x:c>
      <x:c r="E41" s="22"/>
      <x:c r="F41" s="22"/>
      <x:c r="G41" s="23"/>
      <x:c r="H41" s="22"/>
      <x:c r="I41" s="28"/>
      <x:c r="J41" s="28"/>
    </x:row>
    <x:row r="42" ht="21.950000762939453" customHeight="1">
      <x:c r="A42" s="22"/>
      <x:c r="B42" s="23"/>
      <x:c r="C42" s="23"/>
      <x:c r="D42" s="23"/>
      <x:c r="E42" s="22"/>
      <x:c r="F42" s="22"/>
      <x:c r="G42" s="23"/>
      <x:c r="H42" s="22"/>
      <x:c r="I42" s="28"/>
      <x:c r="J42" s="28"/>
    </x:row>
    <x:row r="43" ht="21.950000762939453" customHeight="1">
      <x:c r="A43" s="22" t="inlineStr">
        <x:is>
          <x:t>Solver status</x:t>
        </x:is>
      </x:c>
      <x:c r="B43" s="22" t="inlineStr">
        <x:is>
          <x:t>Solved with Excel Solver (GRG Nonlinear)</x:t>
        </x:is>
      </x:c>
      <x:c r="C43" s="23"/>
      <x:c r="D43" s="23"/>
      <x:c r="E43" s="22"/>
      <x:c r="F43" s="22"/>
      <x:c r="G43" s="23"/>
      <x:c r="H43" s="22"/>
      <x:c r="I43" s="28"/>
      <x:c r="J43" s="28"/>
    </x:row>
    <x:row r="44" ht="21.950000762939453" customHeight="1">
      <x:c r="A44" s="22" t="inlineStr">
        <x:is>
          <x:t>Feasibility</x:t>
        </x:is>
      </x:c>
      <x:c r="B44" s="22" t="inlineStr">
        <x:is>
          <x:t>Within Solver tolerances</x:t>
        </x:is>
      </x:c>
      <x:c r="C44" s="23"/>
      <x:c r="D44" s="23"/>
      <x:c r="E44" s="22"/>
      <x:c r="F44" s="22"/>
      <x:c r="G44" s="23"/>
      <x:c r="H44" s="22"/>
      <x:c r="I44" s="28"/>
      <x:c r="J44" s="28"/>
    </x:row>
    <x:row r="45" ht="21.950000762939453" customHeight="1">
      <x:c r="A45" s="22"/>
      <x:c r="B45" s="23"/>
      <x:c r="C45" s="23"/>
      <x:c r="D45" s="23"/>
      <x:c r="E45" s="22"/>
      <x:c r="F45" s="22"/>
      <x:c r="G45" s="23"/>
      <x:c r="H45" s="22"/>
      <x:c r="I45" s="28"/>
      <x:c r="J45" s="28"/>
    </x:row>
    <x:row r="46" ht="21.950000762939453" customHeight="1">
      <x:c r="A46" s="22" t="s">
        <x:v>53</x:v>
      </x:c>
      <x:c r="B46" s="23"/>
      <x:c r="C46" s="23"/>
      <x:c r="D46" s="23"/>
      <x:c r="E46" s="22"/>
      <x:c r="F46" s="22"/>
      <x:c r="G46" s="23"/>
      <x:c r="H46" s="22"/>
      <x:c r="I46" s="28"/>
      <x:c r="J46" s="28"/>
    </x:row>
    <x:row r="47" ht="21.950000762939453" customHeight="1">
      <x:c r="A47" s="22" t="s">
        <x:v>54</x:v>
      </x:c>
      <x:c r="B47" s="23"/>
      <x:c r="C47" s="23"/>
      <x:c r="D47" s="23"/>
      <x:c r="E47" s="22"/>
      <x:c r="F47" s="22"/>
      <x:c r="G47" s="23"/>
      <x:c r="H47" s="22"/>
      <x:c r="I47" s="28"/>
      <x:c r="J47" s="28"/>
    </x:row>
    <x:row r="48" ht="21.950000762939453" customHeight="1">
      <x:c r="A48" s="22" t="s">
        <x:v>55</x:v>
      </x:c>
      <x:c r="B48" s="23"/>
      <x:c r="C48" s="23"/>
      <x:c r="D48" s="23"/>
      <x:c r="E48" s="22"/>
      <x:c r="F48" s="22"/>
      <x:c r="G48" s="23"/>
      <x:c r="H48" s="22"/>
      <x:c r="I48" s="28"/>
      <x:c r="J48" s="28"/>
    </x:row>
    <x:row r="49" ht="21.950000762939453" customHeight="1">
      <x:c r="A49" s="22" t="s">
        <x:v>56</x:v>
      </x:c>
      <x:c r="B49" s="23"/>
      <x:c r="C49" s="23"/>
      <x:c r="D49" s="23"/>
      <x:c r="E49" s="22"/>
      <x:c r="F49" s="22"/>
      <x:c r="G49" s="23"/>
      <x:c r="H49" s="22"/>
      <x:c r="I49" s="28"/>
      <x:c r="J49" s="28"/>
    </x:row>
  </x:sheetData>
  <x:conditionalFormatting sqref="D29:D35">
    <x:cfRule type="cellIs" dxfId="0" priority="1" operator="greaterThan">
      <x:formula>Q1_feas_tol</x:formula>
    </x:cfRule>
  </x:conditionalFormatting>
  <x:dataValidations count="2">
    <x:dataValidation type="decimal" showErrorMessage="1" error="Enter dimensions within 0.1 to 1 cm." sqref="B8">
      <x:formula1>0.1</x:formula1>
      <x:formula2>1</x:formula2>
    </x:dataValidation>
    <x:dataValidation type="decimal" showErrorMessage="1" error="Enter dimensions within 2 to 20 cm." sqref="B7">
      <x:formula1>2</x:formula1>
      <x:formula2>20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31" customWidth="1"/>
    <x:col min="2" max="2" width="110" customWidth="1"/>
  </x:cols>
  <x:sheetData>
    <x:row r="1" ht="26.100000381469727" customHeight="1">
      <x:c r="A1" s="35" t="s">
        <x:v>57</x:v>
      </x:c>
      <x:c r="B1" s="35" t="s">
        <x:v>58</x:v>
      </x:c>
    </x:row>
    <x:row r="2" ht="26.100000381469727" customHeight="1">
      <x:c r="A2" s="22" t="s">
        <x:v>59</x:v>
      </x:c>
      <x:c r="B2" s="22" t="s">
        <x:v>60</x:v>
      </x:c>
    </x:row>
    <x:row r="3" ht="26.100000381469727" customHeight="1">
      <x:c r="A3" s="22" t="s">
        <x:v>61</x:v>
      </x:c>
      <x:c r="B3" s="22" t="s">
        <x:v>62</x:v>
      </x:c>
    </x:row>
    <x:row r="4" ht="26.100000381469727" customHeight="1">
      <x:c r="A4" s="22" t="s">
        <x:v>63</x:v>
      </x:c>
      <x:c r="B4" s="22" t="s">
        <x:v>64</x:v>
      </x:c>
    </x:row>
    <x:row r="5" ht="26.100000381469727" customHeight="1">
      <x:c r="A5" s="22" t="s">
        <x:v>65</x:v>
      </x:c>
      <x:c r="B5" s="22" t="s">
        <x:v>66</x:v>
      </x:c>
    </x:row>
    <x:row r="6" ht="26.100000381469727" customHeight="1">
      <x:c r="A6" s="22" t="s">
        <x:v>67</x:v>
      </x:c>
      <x:c r="B6" s="22" t="s">
        <x:v>68</x:v>
      </x:c>
    </x:row>
    <x:row r="7" ht="26.100000381469727" customHeight="1">
      <x:c r="A7" s="22" t="s">
        <x:v>43</x:v>
      </x:c>
      <x:c r="B7" s="22" t="s">
        <x:v>69</x:v>
      </x:c>
    </x:row>
    <x:row r="8" ht="26.100000381469727" customHeight="1">
      <x:c r="A8" s="22" t="s">
        <x:v>70</x:v>
      </x:c>
      <x:c r="B8" s="22" t="s">
        <x:v>71</x:v>
      </x:c>
    </x:row>
    <x:row r="9" ht="26.100000381469727" customHeight="1">
      <x:c r="A9" s="22" t="s">
        <x:v>72</x:v>
      </x:c>
      <x:c r="B9" s="22" t="s">
        <x:v>73</x:v>
      </x:c>
    </x:row>
    <x:row r="10" ht="26.100000381469727" customHeight="1">
      <x:c r="A10" s="22" t="s">
        <x:v>74</x:v>
      </x:c>
      <x:c r="B10" s="22" t="s">
        <x:v>75</x:v>
      </x:c>
    </x:row>
    <x:row r="11" ht="26.100000381469727" customHeight="1">
      <x:c r="A11" s="22" t="s">
        <x:v>76</x:v>
      </x:c>
      <x:c r="B11" s="22" t="s">
        <x:v>77</x:v>
      </x:c>
    </x:row>
    <x:row r="12" ht="26.100000381469727" customHeight="1">
      <x:c r="A12" s="22" t="s">
        <x:v>78</x:v>
      </x:c>
      <x:c r="B12" s="22" t="inlineStr">
        <x:is>
          <x:t>Q1_BeamColumn!J1:J60 (saved Solver model cells)</x:t>
        </x:is>
      </x:c>
    </x:row>
    <x:row r="13" ht="26.100000381469727" customHeight="1">
      <x:c r="A13" s="22" t="s">
        <x:v>80</x:v>
      </x:c>
      <x:c r="B13" s="22" t="s">
        <x:v>81</x:v>
      </x:c>
    </x:row>
    <x:row r="14" ht="26.100000381469727" customHeight="1">
      <x:c r="A14" s="22" t="s">
        <x:v>82</x:v>
      </x:c>
      <x:c r="B14" s="22" t="s">
        <x:v>83</x:v>
      </x:c>
    </x:row>
    <x:row r="15" ht="26.100000381469727" customHeight="1">
      <x:c r="A15" s="22" t="s">
        <x:v>84</x:v>
      </x:c>
      <x:c r="B15" s="22" t="inlineStr">
        <x:is>
          <x:t>Row 40 reports the Python result for comparison; structural responses are formulas.</x:t>
        </x:is>
      </x:c>
    </x:row>
    <x:row r="16" ht="26.100000381469727" customHeight="1">
      <x:c r="A16" s="22" t="s">
        <x:v>86</x:v>
      </x:c>
      <x:c r="B16" s="22" t="s">
        <x:v>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158" customWidth="1"/>
  </x:cols>
  <x:sheetData>
    <x:row r="1">
      <x:c r="A1" s="22"/>
    </x:row>
    <x:row r="2">
      <x:c r="A2" s="31" t="s">
        <x:v>88</x:v>
      </x:c>
    </x:row>
    <x:row r="3">
      <x:c r="A3" s="22"/>
    </x:row>
    <x:row r="4">
      <x:c r="A4" s="22"/>
    </x:row>
    <x:row r="5">
      <x:c r="A5" s="22"/>
    </x:row>
    <x:row r="6">
      <x:c r="A6" s="22"/>
    </x:row>
    <x:row r="7">
      <x:c r="A7" s="22"/>
    </x:row>
    <x:row r="8">
      <x:c r="A8" s="22"/>
    </x:row>
    <x:row r="9">
      <x:c r="A9" s="22"/>
    </x:row>
    <x:row r="10">
      <x:c r="A10" s="22"/>
    </x:row>
    <x:row r="11">
      <x:c r="A11" s="22"/>
    </x:row>
    <x:row r="12">
      <x:c r="A12" s="22"/>
    </x:row>
    <x:row r="13">
      <x:c r="A13" s="22"/>
    </x:row>
    <x:row r="14">
      <x:c r="A14" s="22"/>
    </x:row>
    <x:row r="15">
      <x:c r="A15" s="22"/>
    </x:row>
    <x:row r="16">
      <x:c r="A16" s="22"/>
    </x:row>
    <x:row r="17">
      <x:c r="A17" s="22"/>
    </x:row>
    <x:row r="18">
      <x:c r="A18" s="22"/>
    </x:row>
    <x:row r="19">
      <x:c r="A19" s="22"/>
    </x:row>
    <x:row r="20">
      <x:c r="A20" s="22"/>
    </x:row>
    <x:row r="21">
      <x:c r="A21" s="22"/>
    </x:row>
    <x:row r="22">
      <x:c r="A22" s="22"/>
    </x:row>
    <x:row r="23">
      <x:c r="A23" s="22"/>
    </x:row>
    <x:row r="24">
      <x:c r="A24" s="22"/>
    </x:row>
    <x:row r="25">
      <x:c r="A25" s="22"/>
    </x:row>
    <x:row r="26">
      <x:c r="A26" s="22"/>
    </x:row>
    <x:row r="27">
      <x:c r="A27" s="22"/>
    </x:row>
    <x:row r="28">
      <x:c r="A28" s="22"/>
    </x:row>
    <x:row r="29">
      <x:c r="A29" s="22"/>
    </x:row>
    <x:row r="30">
      <x:c r="A30" s="22"/>
    </x:row>
    <x:row r="31">
      <x:c r="A31" s="22"/>
    </x:row>
    <x:row r="32">
      <x:c r="A32" s="22"/>
    </x:row>
    <x:row r="33">
      <x:c r="A33" s="22" t="s">
        <x:v>89</x:v>
      </x:c>
    </x:row>
  </x:sheetData>
  <x:pageMargins left="0.7" right="0.7" top="0.75" bottom="0.75" header="0.3" footer="0.3"/>
  <x:drawing xmlns:r="http://schemas.openxmlformats.org/officeDocument/2006/relationships" r:id="R6f8724e612624c3b"/>
</x:worksheet>
</file>

<file path=xl/worksheets/sheet4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33" customWidth="1"/>
    <x:col min="2" max="2" width="23" customWidth="1"/>
    <x:col min="3" max="3" width="14" customWidth="1"/>
    <x:col min="4" max="4" width="25" customWidth="1"/>
    <x:col min="5" max="5" width="27" customWidth="1"/>
    <x:col min="6" max="7" width="3" customWidth="1"/>
    <x:col min="8" max="8" width="18" customWidth="1" hidden="1"/>
    <x:col min="9" max="19" hidden="1"/>
  </x:cols>
  <x:sheetData>
    <x:row r="1" ht="21" customHeight="1">
      <x:c r="A1" s="22"/>
      <x:c r="B1" s="23"/>
      <x:c r="C1" s="22"/>
      <x:c r="D1" s="22"/>
      <x:c r="E1" s="22"/>
      <x:c r="F1" s="28"/>
      <x:c r="G1" s="28"/>
      <x:c r="H1" s="29">
        <x:f>MIN($B$4)</x:f>
        <x:v>334.44768756220037</x:v>
      </x:c>
    </x:row>
    <x:row r="2" ht="21" customHeight="1">
      <x:c r="A2" s="31" t="s">
        <x:v>90</x:v>
      </x:c>
      <x:c r="B2" s="23"/>
      <x:c r="C2" s="22"/>
      <x:c r="D2" s="22"/>
      <x:c r="E2" s="22"/>
      <x:c r="F2" s="28"/>
      <x:c r="G2" s="28"/>
      <x:c r="H2" s="28">
        <x:f>COUNT($B$7:$B$8)</x:f>
        <x:v>2</x:v>
      </x:c>
    </x:row>
    <x:row r="3" ht="21" customHeight="1">
      <x:c r="A3" s="22"/>
      <x:c r="B3" s="23"/>
      <x:c r="C3" s="22"/>
      <x:c r="D3" s="22"/>
      <x:c r="E3" s="22"/>
      <x:c r="F3" s="28"/>
      <x:c r="G3" s="28"/>
      <x:c r="H3" s="28" t="b">
        <x:f>$B$22&gt;=Q2_guard</x:f>
        <x:v>1</x:v>
      </x:c>
    </x:row>
    <x:row r="4" ht="21" customHeight="1">
      <x:c r="A4" s="22" t="s">
        <x:v>1</x:v>
      </x:c>
      <x:c r="B4" s="30">
        <x:f>Q2_rho*Q2_L*B18</x:f>
        <x:v>334.44768756220037</x:v>
      </x:c>
      <x:c r="C4" s="22" t="s">
        <x:v>2</x:v>
      </x:c>
      <x:c r="D4" s="22"/>
      <x:c r="E4" s="22"/>
      <x:c r="F4" s="28"/>
      <x:c r="G4" s="28"/>
      <x:c r="H4" s="28" t="b">
        <x:f t="array" ref="H4">$B$45:$B$46&lt;=0</x:f>
        <x:v>1</x:v>
      </x:c>
    </x:row>
    <x:row r="5" ht="21" customHeight="1">
      <x:c r="A5" s="22"/>
      <x:c r="B5" s="23"/>
      <x:c r="C5" s="22"/>
      <x:c r="D5" s="22"/>
      <x:c r="E5" s="22"/>
      <x:c r="F5" s="28"/>
      <x:c r="G5" s="28"/>
      <x:c r="H5" s="28" t="b">
        <x:f t="array" ref="H5">$B$7:$B$8&lt;=40</x:f>
        <x:v>1</x:v>
      </x:c>
    </x:row>
    <x:row r="6" ht="21" customHeight="1">
      <x:c r="A6" s="22"/>
      <x:c r="B6" s="23"/>
      <x:c r="C6" s="22"/>
      <x:c r="D6" s="22"/>
      <x:c r="E6" s="22"/>
      <x:c r="F6" s="28"/>
      <x:c r="G6" s="28"/>
      <x:c r="H6" s="28" t="b">
        <x:f t="array" ref="H6">$B$28:$B$31&lt;=$C$28:$C$31</x:f>
        <x:v>1</x:v>
      </x:c>
    </x:row>
    <x:row r="7" ht="21" customHeight="1">
      <x:c r="A7" s="22" t="s">
        <x:v>91</x:v>
      </x:c>
      <x:c r="B7" s="30">
        <x:v>40</x:v>
      </x:c>
      <x:c r="C7" s="22" t="s">
        <x:v>4</x:v>
      </x:c>
      <x:c r="D7" s="22"/>
      <x:c r="E7" s="22"/>
      <x:c r="F7" s="28"/>
      <x:c r="G7" s="28"/>
      <x:c r="H7" s="28" t="b">
        <x:f t="array" ref="H7">$B$7:$B$8&gt;=0</x:f>
        <x:v>1</x:v>
      </x:c>
    </x:row>
    <x:row r="8" ht="21" customHeight="1">
      <x:c r="A8" s="22" t="s">
        <x:v>92</x:v>
      </x:c>
      <x:c r="B8" s="30">
        <x:v>39.830120143610877</x:v>
      </x:c>
      <x:c r="C8" s="22" t="s">
        <x:v>4</x:v>
      </x:c>
      <x:c r="D8" s="22"/>
      <x:c r="E8" s="22"/>
      <x:c r="F8" s="28"/>
      <x:c r="G8" s="28"/>
      <x:c r="H8" s="28">
        <x:f>{100,2000,0.000000001,0.05,FALSE,FALSE,TRUE,1,2,1,0.000000001,TRUE}</x:f>
        <x:v>100</x:v>
      </x:c>
    </x:row>
    <x:row r="9" ht="21" customHeight="1">
      <x:c r="A9" s="22"/>
      <x:c r="B9" s="23"/>
      <x:c r="C9" s="22"/>
      <x:c r="D9" s="22"/>
      <x:c r="E9" s="22"/>
      <x:c r="F9" s="28"/>
      <x:c r="G9" s="28"/>
      <x:c r="H9" s="28">
        <x:f>{100,2000,1,100,0,FALSE,FALSE,0.075,0,0,FALSE,30}</x:f>
        <x:v>100</x:v>
      </x:c>
    </x:row>
    <x:row r="10" ht="21" customHeight="1">
      <x:c r="A10" s="22"/>
      <x:c r="B10" s="23"/>
      <x:c r="C10" s="22"/>
      <x:c r="D10" s="35" t="inlineStr">
        <x:is>
          <x:t>Design limits (cm)</x:t>
        </x:is>
      </x:c>
      <x:c r="E10" s="36" t="inlineStr">
        <x:is>
          <x:t>Value</x:t>
        </x:is>
      </x:c>
      <x:c r="F10" s="28"/>
      <x:c r="G10" s="28"/>
      <x:c r="H10" s="28"/>
    </x:row>
    <x:row r="11" ht="21" customHeight="1">
      <x:c r="A11" s="22" t="s">
        <x:v>93</x:v>
      </x:c>
      <x:c r="B11" s="23">
        <x:v>14000</x:v>
      </x:c>
      <x:c r="C11" s="22" t="s">
        <x:v>10</x:v>
      </x:c>
      <x:c r="D11" s="22" t="inlineStr">
        <x:is>
          <x:t>Outer radius minimum</x:t>
        </x:is>
      </x:c>
      <x:c r="E11" s="30">
        <x:v>0</x:v>
      </x:c>
      <x:c r="F11" s="28"/>
      <x:c r="G11" s="28"/>
      <x:c r="H11" s="28"/>
    </x:row>
    <x:row r="12" ht="21" customHeight="1">
      <x:c r="A12" s="22" t="s">
        <x:v>6</x:v>
      </x:c>
      <x:c r="B12" s="23">
        <x:v>10</x:v>
      </x:c>
      <x:c r="C12" s="22" t="s">
        <x:v>7</x:v>
      </x:c>
      <x:c r="D12" s="22" t="inlineStr">
        <x:is>
          <x:t>Outer radius maximum</x:t>
        </x:is>
      </x:c>
      <x:c r="E12" s="30">
        <x:v>40</x:v>
      </x:c>
      <x:c r="F12" s="28"/>
      <x:c r="G12" s="28"/>
      <x:c r="H12" s="28"/>
    </x:row>
    <x:row r="13" ht="21" customHeight="1">
      <x:c r="A13" s="22" t="s">
        <x:v>15</x:v>
      </x:c>
      <x:c r="B13" s="23">
        <x:v>7850</x:v>
      </x:c>
      <x:c r="C13" s="22" t="s">
        <x:v>16</x:v>
      </x:c>
      <x:c r="D13" s="22" t="inlineStr">
        <x:is>
          <x:t>Inner radius minimum</x:t>
        </x:is>
      </x:c>
      <x:c r="E13" s="30">
        <x:v>0</x:v>
      </x:c>
      <x:c r="F13" s="28"/>
      <x:c r="G13" s="28"/>
      <x:c r="H13" s="28"/>
    </x:row>
    <x:row r="14" ht="21" customHeight="1">
      <x:c r="A14" s="22" t="s">
        <x:v>94</x:v>
      </x:c>
      <x:c r="B14" s="39">
        <x:v>165000000</x:v>
      </x:c>
      <x:c r="C14" s="22" t="s">
        <x:v>13</x:v>
      </x:c>
      <x:c r="D14" s="22" t="inlineStr">
        <x:is>
          <x:t>Inner radius maximum</x:t>
        </x:is>
      </x:c>
      <x:c r="E14" s="30">
        <x:v>40</x:v>
      </x:c>
      <x:c r="F14" s="28"/>
      <x:c r="G14" s="28"/>
      <x:c r="H14" s="28"/>
    </x:row>
    <x:row r="15" ht="21" customHeight="1">
      <x:c r="A15" s="22" t="s">
        <x:v>95</x:v>
      </x:c>
      <x:c r="B15" s="39">
        <x:v>50000000</x:v>
      </x:c>
      <x:c r="C15" s="22" t="s">
        <x:v>13</x:v>
      </x:c>
      <x:c r="D15" s="22"/>
      <x:c r="E15" s="22"/>
      <x:c r="F15" s="28"/>
      <x:c r="G15" s="28"/>
      <x:c r="H15" s="28"/>
    </x:row>
    <x:row r="16" ht="21" customHeight="1">
      <x:c r="A16" s="22" t="s">
        <x:v>96</x:v>
      </x:c>
      <x:c r="B16" s="39">
        <x:v>1E-8</x:v>
      </x:c>
      <x:c r="C16" s="22" t="s">
        <x:v>7</x:v>
      </x:c>
      <x:c r="D16" s="22"/>
      <x:c r="E16" s="22"/>
      <x:c r="F16" s="28"/>
      <x:c r="G16" s="28"/>
      <x:c r="H16" s="28"/>
    </x:row>
    <x:row r="17" ht="21" customHeight="1">
      <x:c r="A17" s="22"/>
      <x:c r="B17" s="23"/>
      <x:c r="C17" s="22"/>
      <x:c r="D17" s="22"/>
      <x:c r="E17" s="22"/>
      <x:c r="F17" s="28"/>
      <x:c r="G17" s="28"/>
      <x:c r="H17" s="28"/>
    </x:row>
    <x:row r="18" ht="21" customHeight="1">
      <x:c r="A18" s="22" t="s">
        <x:v>97</x:v>
      </x:c>
      <x:c r="B18" s="26">
        <x:f>PI()*((Q2_Ro-Q2_Ri)/100)*((Q2_Ro+Q2_Ri)/100)</x:f>
        <x:v>4.2604800963337627E-3</x:v>
      </x:c>
      <x:c r="C18" s="22" t="s">
        <x:v>28</x:v>
      </x:c>
      <x:c r="D18" s="22"/>
      <x:c r="E18" s="22"/>
      <x:c r="F18" s="28"/>
      <x:c r="G18" s="28"/>
      <x:c r="H18" s="28"/>
    </x:row>
    <x:row r="19" ht="21" customHeight="1">
      <x:c r="A19" s="22" t="s">
        <x:v>98</x:v>
      </x:c>
      <x:c r="B19" s="26">
        <x:f>B18*((Q2_Ro/100)^2+(Q2_Ri/100)^2)/4</x:f>
        <x:v>3.3939394206038983E-4</x:v>
      </x:c>
      <x:c r="C19" s="22" t="s">
        <x:v>30</x:v>
      </x:c>
      <x:c r="D19" s="22"/>
      <x:c r="E19" s="22"/>
      <x:c r="F19" s="28"/>
      <x:c r="G19" s="28"/>
      <x:c r="H19" s="28"/>
    </x:row>
    <x:row r="20" ht="21" customHeight="1">
      <x:c r="A20" s="22" t="s">
        <x:v>99</x:v>
      </x:c>
      <x:c r="B20" s="26">
        <x:f>IF(AND(Q2_Ro&gt;Q2_Ri,Q2_Ri&gt;=0),Q2_P*Q2_L*(Q2_Ro/100)/B19,NA())</x:f>
        <x:v>164999998.70367655</x:v>
      </x:c>
      <x:c r="C20" s="22" t="s">
        <x:v>13</x:v>
      </x:c>
      <x:c r="D20" s="22"/>
      <x:c r="E20" s="22"/>
      <x:c r="F20" s="28"/>
      <x:c r="G20" s="28"/>
      <x:c r="H20" s="28"/>
    </x:row>
    <x:row r="21" ht="21" customHeight="1">
      <x:c r="A21" s="22" t="s">
        <x:v>100</x:v>
      </x:c>
      <x:c r="B21" s="26">
        <x:f>IF(AND(Q2_Ro&gt;Q2_Ri,Q2_Ri&gt;=0),Q2_P*((Q2_Ro/100)^2+(Q2_Ro/100)*(Q2_Ri/100)+(Q2_Ri/100)^2)/(3*B19),NA())</x:f>
        <x:v>6572009.4534154739</x:v>
      </x:c>
      <x:c r="C21" s="22" t="s">
        <x:v>13</x:v>
      </x:c>
      <x:c r="D21" s="22"/>
      <x:c r="E21" s="22"/>
      <x:c r="F21" s="28"/>
      <x:c r="G21" s="28"/>
      <x:c r="H21" s="28"/>
    </x:row>
    <x:row r="22" ht="21" customHeight="1">
      <x:c r="A22" s="22" t="s">
        <x:v>101</x:v>
      </x:c>
      <x:c r="B22" s="26">
        <x:f>(Q2_Ro-Q2_Ri)/100</x:f>
        <x:v>1.6987985638912306E-3</x:v>
      </x:c>
      <x:c r="C22" s="22" t="s">
        <x:v>7</x:v>
      </x:c>
      <x:c r="D22" s="22"/>
      <x:c r="E22" s="22"/>
      <x:c r="F22" s="28"/>
      <x:c r="G22" s="28"/>
      <x:c r="H22" s="28"/>
    </x:row>
    <x:row r="23" ht="21" customHeight="1">
      <x:c r="A23" s="22"/>
      <x:c r="B23" s="23"/>
      <x:c r="C23" s="22"/>
      <x:c r="D23" s="22"/>
      <x:c r="E23" s="22"/>
      <x:c r="F23" s="28"/>
      <x:c r="G23" s="28"/>
      <x:c r="H23" s="28"/>
    </x:row>
    <x:row r="24" ht="21" customHeight="1">
      <x:c r="A24" s="22"/>
      <x:c r="B24" s="23"/>
      <x:c r="C24" s="22"/>
      <x:c r="D24" s="22"/>
      <x:c r="E24" s="22"/>
      <x:c r="F24" s="28"/>
      <x:c r="G24" s="28"/>
      <x:c r="H24" s="28"/>
    </x:row>
    <x:row r="25" ht="21" customHeight="1">
      <x:c r="A25" s="35" t="s">
        <x:v>36</x:v>
      </x:c>
      <x:c r="B25" s="36" t="s">
        <x:v>102</x:v>
      </x:c>
      <x:c r="C25" s="35" t="s">
        <x:v>38</x:v>
      </x:c>
      <x:c r="D25" s="35" t="s">
        <x:v>39</x:v>
      </x:c>
      <x:c r="E25" s="35" t="s">
        <x:v>103</x:v>
      </x:c>
      <x:c r="F25" s="37"/>
      <x:c r="G25" s="37"/>
      <x:c r="H25" s="37"/>
    </x:row>
    <x:row r="26" ht="21" customHeight="1">
      <x:c r="A26" s="22" t="s">
        <x:v>104</x:v>
      </x:c>
      <x:c r="B26" s="30">
        <x:f>B20/Q2_sigma</x:f>
        <x:v>0.99999999214349422</x:v>
      </x:c>
      <x:c r="C26" s="30">
        <x:v>1</x:v>
      </x:c>
      <x:c r="D26" s="30">
        <x:f>B26-1</x:f>
        <x:v>-7.8565057792800985E-9</x:v>
      </x:c>
      <x:c r="E26" s="22" t="str">
        <x:f t="shared" ref="E26:E31" si="0">IF(D26&gt;0.0000001,"VIOLATED",IF(ABS(D26)&lt;=0.000001,"Active","Inactive"))</x:f>
        <x:v>Active</x:v>
      </x:c>
      <x:c r="F26" s="28"/>
      <x:c r="G26" s="28"/>
      <x:c r="H26" s="28"/>
    </x:row>
    <x:row r="27" ht="21" customHeight="1">
      <x:c r="A27" s="22" t="s">
        <x:v>105</x:v>
      </x:c>
      <x:c r="B27" s="30">
        <x:f>B21/Q2_tau</x:f>
        <x:v>0.13144018906830948</x:v>
      </x:c>
      <x:c r="C27" s="30">
        <x:v>1</x:v>
      </x:c>
      <x:c r="D27" s="30">
        <x:f>B27-1</x:f>
        <x:v>-0.86855981093169055</x:v>
      </x:c>
      <x:c r="E27" s="22" t="str">
        <x:f t="shared" si="0"/>
        <x:v>Inactive</x:v>
      </x:c>
      <x:c r="F27" s="28"/>
      <x:c r="G27" s="28"/>
      <x:c r="H27" s="28"/>
    </x:row>
    <x:row r="28" ht="21" customHeight="1">
      <x:c r="A28" s="22" t="s">
        <x:v>106</x:v>
      </x:c>
      <x:c r="B28" s="30">
        <x:f>Q2_Ro/$E$12</x:f>
        <x:v>1</x:v>
      </x:c>
      <x:c r="C28" s="30">
        <x:v>1</x:v>
      </x:c>
      <x:c r="D28" s="30">
        <x:f>B28-1</x:f>
        <x:v>0</x:v>
      </x:c>
      <x:c r="E28" s="22" t="str">
        <x:f t="shared" si="0"/>
        <x:v>Active</x:v>
      </x:c>
      <x:c r="F28" s="28"/>
      <x:c r="G28" s="28"/>
      <x:c r="H28" s="28"/>
    </x:row>
    <x:row r="29" ht="21" customHeight="1">
      <x:c r="A29" s="22" t="s">
        <x:v>107</x:v>
      </x:c>
      <x:c r="B29" s="30">
        <x:f>Q2_Ri/$E$14</x:f>
        <x:v>0.99575300359027197</x:v>
      </x:c>
      <x:c r="C29" s="30">
        <x:v>1</x:v>
      </x:c>
      <x:c r="D29" s="30">
        <x:f>B29-1</x:f>
        <x:v>-4.2469964097280322E-3</x:v>
      </x:c>
      <x:c r="E29" s="22" t="str">
        <x:f t="shared" si="0"/>
        <x:v>Inactive</x:v>
      </x:c>
      <x:c r="F29" s="28"/>
      <x:c r="G29" s="28"/>
      <x:c r="H29" s="28"/>
    </x:row>
    <x:row r="30" ht="21" customHeight="1">
      <x:c r="A30" s="22" t="s">
        <x:v>108</x:v>
      </x:c>
      <x:c r="B30" s="30">
        <x:f>($E$13-Q2_Ri)/($E$14-$E$13)</x:f>
        <x:v>-0.99575300359027197</x:v>
      </x:c>
      <x:c r="C30" s="30">
        <x:v>0</x:v>
      </x:c>
      <x:c r="D30" s="30">
        <x:f>B30</x:f>
        <x:v>-0.99575300359027197</x:v>
      </x:c>
      <x:c r="E30" s="22" t="str">
        <x:f t="shared" si="0"/>
        <x:v>Inactive</x:v>
      </x:c>
      <x:c r="F30" s="28"/>
      <x:c r="G30" s="28"/>
      <x:c r="H30" s="28"/>
    </x:row>
    <x:row r="31" ht="21" customHeight="1">
      <x:c r="A31" s="22" t="s">
        <x:v>109</x:v>
      </x:c>
      <x:c r="B31" s="30">
        <x:f>(Q2_Ri/100+Q2_guard-Q2_Ro/100)/($E$12/100)</x:f>
        <x:v>-0.0042469714097281841</x:v>
      </x:c>
      <x:c r="C31" s="30">
        <x:v>0</x:v>
      </x:c>
      <x:c r="D31" s="30">
        <x:f>B31</x:f>
        <x:v>-4.2469714097281841E-3</x:v>
      </x:c>
      <x:c r="E31" s="22" t="str">
        <x:f t="shared" si="0"/>
        <x:v>Inactive</x:v>
      </x:c>
      <x:c r="F31" s="28"/>
      <x:c r="G31" s="28"/>
      <x:c r="H31" s="28"/>
    </x:row>
    <x:row r="32" ht="21" customHeight="1">
      <x:c r="A32" s="22"/>
      <x:c r="B32" s="23"/>
      <x:c r="C32" s="22"/>
      <x:c r="D32" s="22"/>
      <x:c r="E32" s="22"/>
      <x:c r="F32" s="28"/>
      <x:c r="G32" s="28"/>
      <x:c r="H32" s="28"/>
    </x:row>
    <x:row r="33" ht="21" customHeight="1">
      <x:c r="A33" s="22"/>
      <x:c r="B33" s="23"/>
      <x:c r="C33" s="22"/>
      <x:c r="D33" s="22"/>
      <x:c r="E33" s="22"/>
      <x:c r="F33" s="28"/>
      <x:c r="G33" s="28"/>
      <x:c r="H33" s="28"/>
    </x:row>
    <x:row r="34" ht="21" customHeight="1">
      <x:c r="A34" s="22" t="s">
        <x:v>110</x:v>
      </x:c>
      <x:c r="B34" s="23"/>
      <x:c r="C34" s="22"/>
      <x:c r="D34" s="22"/>
      <x:c r="E34" s="22"/>
      <x:c r="F34" s="28"/>
      <x:c r="G34" s="28"/>
      <x:c r="H34" s="28"/>
    </x:row>
    <x:row r="35" ht="21" customHeight="1">
      <x:c r="A35" s="22" t="s">
        <x:v>111</x:v>
      </x:c>
      <x:c r="B35" s="23"/>
      <x:c r="C35" s="22"/>
      <x:c r="D35" s="22"/>
      <x:c r="E35" s="22"/>
      <x:c r="F35" s="28"/>
      <x:c r="G35" s="28"/>
      <x:c r="H35" s="28"/>
    </x:row>
    <x:row r="36" ht="21" customHeight="1">
      <x:c r="A36" s="22" t="s">
        <x:v>112</x:v>
      </x:c>
      <x:c r="B36" s="23"/>
      <x:c r="C36" s="22"/>
      <x:c r="D36" s="22"/>
      <x:c r="E36" s="22"/>
      <x:c r="F36" s="28"/>
      <x:c r="G36" s="28"/>
      <x:c r="H36" s="28"/>
    </x:row>
    <x:row r="37" ht="21" customHeight="1">
      <x:c r="A37" s="22"/>
      <x:c r="B37" s="23"/>
      <x:c r="C37" s="22"/>
      <x:c r="D37" s="22"/>
      <x:c r="E37" s="22"/>
      <x:c r="F37" s="28"/>
      <x:c r="G37" s="28"/>
      <x:c r="H37" s="28"/>
    </x:row>
    <x:row r="38" ht="21" customHeight="1">
      <x:c r="A38" s="22" t="inlineStr">
        <x:is>
          <x:t>Solver status</x:t>
        </x:is>
      </x:c>
      <x:c r="B38" s="22" t="inlineStr">
        <x:is>
          <x:t>Solved with Excel Solver (GRG Nonlinear)</x:t>
        </x:is>
      </x:c>
      <x:c r="C38" s="22"/>
      <x:c r="D38" s="22"/>
      <x:c r="E38" s="22"/>
      <x:c r="F38" s="28"/>
      <x:c r="G38" s="28"/>
      <x:c r="H38" s="28"/>
    </x:row>
    <x:row r="39" ht="21" customHeight="1">
      <x:c r="A39" s="22" t="inlineStr">
        <x:is>
          <x:t>Feasibility</x:t>
        </x:is>
      </x:c>
      <x:c r="B39" s="22" t="inlineStr">
        <x:is>
          <x:t>Within Solver tolerances</x:t>
        </x:is>
      </x:c>
      <x:c r="C39" s="22"/>
      <x:c r="D39" s="22"/>
      <x:c r="E39" s="22"/>
      <x:c r="F39" s="28"/>
      <x:c r="G39" s="28"/>
      <x:c r="H39" s="28"/>
    </x:row>
    <x:row r="40" ht="21" customHeight="1">
      <x:c r="A40" s="22" t="s">
        <x:v>113</x:v>
      </x:c>
      <x:c r="B40" s="30">
        <x:v>334.44768756220037</x:v>
      </x:c>
      <x:c r="C40" s="22"/>
      <x:c r="D40" s="22"/>
      <x:c r="E40" s="22"/>
      <x:c r="F40" s="28"/>
      <x:c r="G40" s="28"/>
      <x:c r="H40" s="28"/>
    </x:row>
    <x:row r="41" ht="21" customHeight="1">
      <x:c r="A41" s="22" t="s">
        <x:v>114</x:v>
      </x:c>
      <x:c r="B41" s="30">
        <x:v>40</x:v>
      </x:c>
      <x:c r="C41" s="22"/>
      <x:c r="D41" s="22"/>
      <x:c r="E41" s="22"/>
      <x:c r="F41" s="28"/>
      <x:c r="G41" s="28"/>
      <x:c r="H41" s="28"/>
    </x:row>
    <x:row r="42" ht="21" customHeight="1">
      <x:c r="A42" s="22" t="s">
        <x:v>115</x:v>
      </x:c>
      <x:c r="B42" s="30">
        <x:v>39.830120143610877</x:v>
      </x:c>
      <x:c r="C42" s="22"/>
      <x:c r="D42" s="22"/>
      <x:c r="E42" s="22"/>
      <x:c r="F42" s="28"/>
      <x:c r="G42" s="28"/>
      <x:c r="H42" s="28"/>
    </x:row>
    <x:row r="43" ht="21" customHeight="1">
      <x:c r="A43" s="22"/>
      <x:c r="B43" s="23"/>
      <x:c r="C43" s="22"/>
      <x:c r="D43" s="22"/>
      <x:c r="E43" s="22"/>
      <x:c r="F43" s="28"/>
      <x:c r="G43" s="28"/>
      <x:c r="H43" s="28"/>
    </x:row>
    <x:row r="44" ht="21" customHeight="1">
      <x:c r="A44" s="22" t="s">
        <x:v>116</x:v>
      </x:c>
      <x:c r="B44" s="23"/>
      <x:c r="C44" s="22"/>
      <x:c r="D44" s="22"/>
      <x:c r="E44" s="22"/>
      <x:c r="F44" s="28"/>
      <x:c r="G44" s="28"/>
      <x:c r="H44" s="28"/>
    </x:row>
    <x:row r="45" ht="21" customHeight="1">
      <x:c r="A45" s="22" t="s">
        <x:v>117</x:v>
      </x:c>
      <x:c r="B45" s="26">
        <x:f>(Q2_P*Q2_L*(Q2_Ro/100)/Q2_sigma-B19)/0.001</x:f>
        <x:v>-2.6664504480279627E-9</x:v>
      </x:c>
      <x:c r="C45" s="22"/>
      <x:c r="D45" s="22"/>
      <x:c r="E45" s="22"/>
      <x:c r="F45" s="28"/>
      <x:c r="G45" s="28"/>
      <x:c r="H45" s="28"/>
    </x:row>
    <x:row r="46" ht="21" customHeight="1">
      <x:c r="A46" s="22" t="s">
        <x:v>118</x:v>
      </x:c>
      <x:c r="B46" s="26">
        <x:f>(Q2_P*((Q2_Ro/100)^2+(Q2_Ro/100)*(Q2_Ri/100)+(Q2_Ri/100)^2)/(3*Q2_tau)-B19)/0.001</x:f>
        <x:v>-0.29478393814733334</x:v>
      </x:c>
      <x:c r="C46" s="22"/>
      <x:c r="D46" s="22"/>
      <x:c r="E46" s="22"/>
      <x:c r="F46" s="28"/>
      <x:c r="G46" s="28"/>
      <x:c r="H46" s="28"/>
    </x:row>
  </x:sheetData>
  <x:conditionalFormatting sqref="D26:D31">
    <x:cfRule type="cellIs" dxfId="2" priority="1" operator="greaterThan">
      <x:formula>0.0000001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32" customWidth="1"/>
    <x:col min="2" max="2" width="106" customWidth="1"/>
  </x:cols>
  <x:sheetData>
    <x:row r="1" ht="26.100000381469727" customHeight="1">
      <x:c r="A1" s="35" t="s">
        <x:v>57</x:v>
      </x:c>
      <x:c r="B1" s="35" t="s">
        <x:v>58</x:v>
      </x:c>
    </x:row>
    <x:row r="2" ht="26.100000381469727" customHeight="1">
      <x:c r="A2" s="22" t="s">
        <x:v>59</x:v>
      </x:c>
      <x:c r="B2" s="22" t="s">
        <x:v>119</x:v>
      </x:c>
    </x:row>
    <x:row r="3" ht="26.100000381469727" customHeight="1">
      <x:c r="A3" s="22" t="s">
        <x:v>61</x:v>
      </x:c>
      <x:c r="B3" s="22" t="s">
        <x:v>120</x:v>
      </x:c>
    </x:row>
    <x:row r="4" ht="26.100000381469727" customHeight="1">
      <x:c r="A4" s="22" t="s">
        <x:v>63</x:v>
      </x:c>
      <x:c r="B4" s="22" t="s">
        <x:v>121</x:v>
      </x:c>
    </x:row>
    <x:row r="5" ht="26.100000381469727" customHeight="1">
      <x:c r="A5" s="22" t="s">
        <x:v>65</x:v>
      </x:c>
      <x:c r="B5" s="22" t="inlineStr">
        <x:is>
          <x:t>0 &lt;= Ro, Ri &lt;= 40 cm; worksheet limit inputs at Q2_Cantilever!E11:E14</x:t>
        </x:is>
      </x:c>
    </x:row>
    <x:row r="6" ht="26.100000381469727" customHeight="1">
      <x:c r="A6" s="22" t="s">
        <x:v>123</x:v>
      </x:c>
      <x:c r="B6" s="22" t="s">
        <x:v>124</x:v>
      </x:c>
    </x:row>
    <x:row r="7" ht="26.100000381469727" customHeight="1">
      <x:c r="A7" s="22" t="s">
        <x:v>43</x:v>
      </x:c>
      <x:c r="B7" s="22" t="s">
        <x:v>69</x:v>
      </x:c>
    </x:row>
    <x:row r="8" ht="26.100000381469727" customHeight="1">
      <x:c r="A8" s="22" t="s">
        <x:v>70</x:v>
      </x:c>
      <x:c r="B8" s="22" t="s">
        <x:v>71</x:v>
      </x:c>
    </x:row>
    <x:row r="9" ht="26.100000381469727" customHeight="1">
      <x:c r="A9" s="22" t="s">
        <x:v>72</x:v>
      </x:c>
      <x:c r="B9" s="22" t="s">
        <x:v>125</x:v>
      </x:c>
    </x:row>
    <x:row r="10" ht="26.100000381469727" customHeight="1">
      <x:c r="A10" s="22" t="s">
        <x:v>74</x:v>
      </x:c>
      <x:c r="B10" s="22" t="s">
        <x:v>75</x:v>
      </x:c>
    </x:row>
    <x:row r="11" ht="26.100000381469727" customHeight="1">
      <x:c r="A11" s="22" t="s">
        <x:v>76</x:v>
      </x:c>
      <x:c r="B11" s="22" t="s">
        <x:v>126</x:v>
      </x:c>
    </x:row>
    <x:row r="12" ht="26.100000381469727" customHeight="1">
      <x:c r="A12" s="22" t="s">
        <x:v>127</x:v>
      </x:c>
      <x:c r="B12" s="22" t="inlineStr">
        <x:is>
          <x:t>Q2_Cantilever!H1:H60 (saved Solver model cells)</x:t>
        </x:is>
      </x:c>
    </x:row>
    <x:row r="13" ht="26.100000381469727" customHeight="1">
      <x:c r="A13" s="22" t="s">
        <x:v>82</x:v>
      </x:c>
      <x:c r="B13" s="22" t="s">
        <x:v>83</x:v>
      </x:c>
    </x:row>
    <x:row r="14" ht="26.100000381469727" customHeight="1">
      <x:c r="A14" s="22" t="s">
        <x:v>129</x:v>
      </x:c>
      <x:c r="B14" s="22" t="s">
        <x:v>130</x:v>
      </x:c>
    </x:row>
    <x:row r="15" ht="26.100000381469727" customHeight="1">
      <x:c r="A15" s="22" t="s">
        <x:v>86</x:v>
      </x:c>
      <x:c r="B15" s="22" t="s">
        <x:v>131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158" customWidth="1"/>
  </x:cols>
  <x:sheetData>
    <x:row r="1">
      <x:c r="A1" s="22"/>
    </x:row>
    <x:row r="2">
      <x:c r="A2" s="31" t="s">
        <x:v>132</x:v>
      </x:c>
    </x:row>
    <x:row r="3">
      <x:c r="A3" s="22"/>
    </x:row>
    <x:row r="4">
      <x:c r="A4" s="22"/>
    </x:row>
    <x:row r="5">
      <x:c r="A5" s="22"/>
    </x:row>
    <x:row r="6">
      <x:c r="A6" s="22"/>
    </x:row>
    <x:row r="7">
      <x:c r="A7" s="22"/>
    </x:row>
    <x:row r="8">
      <x:c r="A8" s="22"/>
    </x:row>
    <x:row r="9">
      <x:c r="A9" s="22"/>
    </x:row>
    <x:row r="10">
      <x:c r="A10" s="22"/>
    </x:row>
    <x:row r="11">
      <x:c r="A11" s="22"/>
    </x:row>
    <x:row r="12">
      <x:c r="A12" s="22"/>
    </x:row>
    <x:row r="13">
      <x:c r="A13" s="22"/>
    </x:row>
    <x:row r="14">
      <x:c r="A14" s="22"/>
    </x:row>
    <x:row r="15">
      <x:c r="A15" s="22"/>
    </x:row>
    <x:row r="16">
      <x:c r="A16" s="22"/>
    </x:row>
    <x:row r="17">
      <x:c r="A17" s="22"/>
    </x:row>
    <x:row r="18">
      <x:c r="A18" s="22"/>
    </x:row>
    <x:row r="19">
      <x:c r="A19" s="22"/>
    </x:row>
    <x:row r="20">
      <x:c r="A20" s="22"/>
    </x:row>
    <x:row r="21">
      <x:c r="A21" s="22"/>
    </x:row>
    <x:row r="22">
      <x:c r="A22" s="22"/>
    </x:row>
    <x:row r="23">
      <x:c r="A23" s="22"/>
    </x:row>
    <x:row r="24">
      <x:c r="A24" s="22"/>
    </x:row>
    <x:row r="25">
      <x:c r="A25" s="22"/>
    </x:row>
    <x:row r="26">
      <x:c r="A26" s="22"/>
    </x:row>
    <x:row r="27">
      <x:c r="A27" s="22"/>
    </x:row>
    <x:row r="28">
      <x:c r="A28" s="22"/>
    </x:row>
    <x:row r="29">
      <x:c r="A29" s="22"/>
    </x:row>
    <x:row r="30">
      <x:c r="A30" s="22"/>
    </x:row>
    <x:row r="31">
      <x:c r="A31" s="22"/>
    </x:row>
    <x:row r="32">
      <x:c r="A32" s="22"/>
    </x:row>
    <x:row r="33">
      <x:c r="A33" s="22" t="s">
        <x:v>133</x:v>
      </x:c>
    </x:row>
  </x:sheetData>
  <x:pageMargins left="0.7" right="0.7" top="0.75" bottom="0.75" header="0.3" footer="0.3"/>
  <x:drawing xmlns:r="http://schemas.openxmlformats.org/officeDocument/2006/relationships" r:id="R6c43fb8eb3554866"/>
</x:worksheet>
</file>

<file path=xl/worksheets/sheet7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31" customWidth="1"/>
    <x:col min="2" max="2" width="23" customWidth="1"/>
    <x:col min="3" max="3" width="14" customWidth="1"/>
    <x:col min="4" max="4" width="25" customWidth="1"/>
    <x:col min="5" max="5" width="27" customWidth="1"/>
    <x:col min="6" max="7" width="3" customWidth="1"/>
    <x:col min="8" max="8" width="18" customWidth="1" hidden="1"/>
    <x:col min="9" max="19" hidden="1"/>
  </x:cols>
  <x:sheetData>
    <x:row r="1" ht="21" customHeight="1">
      <x:c r="A1" s="22"/>
      <x:c r="B1" s="23"/>
      <x:c r="C1" s="22"/>
      <x:c r="D1" s="22"/>
      <x:c r="E1" s="22"/>
      <x:c r="F1" s="28"/>
      <x:c r="G1" s="28"/>
      <x:c r="H1" s="29">
        <x:f>MIN($B$4)</x:f>
        <x:v>6.6054480656231638</x:v>
      </x:c>
    </x:row>
    <x:row r="2" ht="21" customHeight="1">
      <x:c r="A2" s="31" t="s">
        <x:v>134</x:v>
      </x:c>
      <x:c r="B2" s="23"/>
      <x:c r="C2" s="22"/>
      <x:c r="D2" s="22"/>
      <x:c r="E2" s="22"/>
      <x:c r="F2" s="28"/>
      <x:c r="G2" s="28"/>
      <x:c r="H2" s="28">
        <x:f>COUNT($B$7:$B$8)</x:f>
        <x:v>2</x:v>
      </x:c>
    </x:row>
    <x:row r="3" ht="21" customHeight="1">
      <x:c r="A3" s="22"/>
      <x:c r="B3" s="23"/>
      <x:c r="C3" s="22"/>
      <x:c r="D3" s="22"/>
      <x:c r="E3" s="22"/>
      <x:c r="F3" s="28"/>
      <x:c r="G3" s="28"/>
      <x:c r="H3" s="28" t="b">
        <x:f>Q3_H&lt;=200</x:f>
        <x:v>1</x:v>
      </x:c>
    </x:row>
    <x:row r="4" ht="21" customHeight="1">
      <x:c r="A4" s="22" t="s">
        <x:v>135</x:v>
      </x:c>
      <x:c r="B4" s="30">
        <x:f>3*Q3_rho*B19*B18</x:f>
        <x:v>6.6054480656231638</x:v>
      </x:c>
      <x:c r="C4" s="22" t="s">
        <x:v>2</x:v>
      </x:c>
      <x:c r="D4" s="22"/>
      <x:c r="E4" s="22"/>
      <x:c r="F4" s="28"/>
      <x:c r="G4" s="28"/>
      <x:c r="H4" s="28" t="b">
        <x:f>Q3_D&gt;=0.5</x:f>
        <x:v>1</x:v>
      </x:c>
    </x:row>
    <x:row r="5" ht="21" customHeight="1">
      <x:c r="A5" s="22"/>
      <x:c r="B5" s="23"/>
      <x:c r="C5" s="22"/>
      <x:c r="D5" s="22"/>
      <x:c r="E5" s="22"/>
      <x:c r="F5" s="28"/>
      <x:c r="G5" s="28"/>
      <x:c r="H5" s="28" t="b">
        <x:f>Q3_D&lt;=10</x:f>
        <x:v>1</x:v>
      </x:c>
    </x:row>
    <x:row r="6" ht="21" customHeight="1">
      <x:c r="A6" s="22"/>
      <x:c r="B6" s="23"/>
      <x:c r="C6" s="22"/>
      <x:c r="D6" s="22"/>
      <x:c r="E6" s="22"/>
      <x:c r="F6" s="28"/>
      <x:c r="G6" s="28"/>
      <x:c r="H6" s="28" t="b">
        <x:f t="array" ref="H6">$B$26:$B$31&lt;=$C$26:$C$31</x:f>
        <x:v>1</x:v>
      </x:c>
    </x:row>
    <x:row r="7" ht="21" customHeight="1">
      <x:c r="A7" s="22" t="s">
        <x:v>136</x:v>
      </x:c>
      <x:c r="B7" s="30">
        <x:v>50</x:v>
      </x:c>
      <x:c r="C7" s="22" t="s">
        <x:v>4</x:v>
      </x:c>
      <x:c r="D7" s="22"/>
      <x:c r="E7" s="22"/>
      <x:c r="F7" s="28"/>
      <x:c r="G7" s="28"/>
      <x:c r="H7" s="28" t="b">
        <x:f>Q3_H&gt;=50</x:f>
        <x:v>1</x:v>
      </x:c>
    </x:row>
    <x:row r="8" ht="21" customHeight="1">
      <x:c r="A8" s="22" t="s">
        <x:v>137</x:v>
      </x:c>
      <x:c r="B8" s="30">
        <x:v>3.423228131299636</x:v>
      </x:c>
      <x:c r="C8" s="22" t="s">
        <x:v>4</x:v>
      </x:c>
      <x:c r="D8" s="22"/>
      <x:c r="E8" s="22"/>
      <x:c r="F8" s="28"/>
      <x:c r="G8" s="28"/>
      <x:c r="H8" s="28">
        <x:f>{100,2000,0.000000001,0.05,FALSE,FALSE,TRUE,1,2,1,0.000000001,TRUE}</x:f>
        <x:v>100</x:v>
      </x:c>
    </x:row>
    <x:row r="9" ht="21" customHeight="1">
      <x:c r="A9" s="22"/>
      <x:c r="B9" s="23"/>
      <x:c r="C9" s="22"/>
      <x:c r="D9" s="22"/>
      <x:c r="E9" s="22"/>
      <x:c r="F9" s="28"/>
      <x:c r="G9" s="28"/>
      <x:c r="H9" s="28">
        <x:f>{100,2000,1,100,0,FALSE,FALSE,0.075,0,0,FALSE,30}</x:f>
        <x:v>100</x:v>
      </x:c>
    </x:row>
    <x:row r="10" ht="21" customHeight="1">
      <x:c r="A10" s="22"/>
      <x:c r="B10" s="23"/>
      <x:c r="C10" s="22"/>
      <x:c r="D10" s="35" t="inlineStr">
        <x:is>
          <x:t>Design limits (cm)</x:t>
        </x:is>
      </x:c>
      <x:c r="E10" s="36" t="inlineStr">
        <x:is>
          <x:t>Value</x:t>
        </x:is>
      </x:c>
      <x:c r="F10" s="28"/>
      <x:c r="G10" s="28"/>
      <x:c r="H10" s="28"/>
    </x:row>
    <x:row r="11" ht="21" customHeight="1">
      <x:c r="A11" s="22" t="s">
        <x:v>138</x:v>
      </x:c>
      <x:c r="B11" s="23">
        <x:v>60000</x:v>
      </x:c>
      <x:c r="C11" s="22" t="s">
        <x:v>10</x:v>
      </x:c>
      <x:c r="D11" s="22" t="inlineStr">
        <x:is>
          <x:t>Minimum height</x:t>
        </x:is>
      </x:c>
      <x:c r="E11" s="30">
        <x:v>50</x:v>
      </x:c>
      <x:c r="F11" s="28"/>
      <x:c r="G11" s="28"/>
      <x:c r="H11" s="28"/>
    </x:row>
    <x:row r="12" ht="21" customHeight="1">
      <x:c r="A12" s="22" t="s">
        <x:v>139</x:v>
      </x:c>
      <x:c r="B12" s="23">
        <x:v>120</x:v>
      </x:c>
      <x:c r="C12" s="22" t="s">
        <x:v>4</x:v>
      </x:c>
      <x:c r="D12" s="22" t="inlineStr">
        <x:is>
          <x:t>Maximum height</x:t>
        </x:is>
      </x:c>
      <x:c r="E12" s="30">
        <x:v>200</x:v>
      </x:c>
      <x:c r="F12" s="28"/>
      <x:c r="G12" s="28"/>
      <x:c r="H12" s="28"/>
    </x:row>
    <x:row r="13" ht="21" customHeight="1">
      <x:c r="A13" s="22" t="s">
        <x:v>12</x:v>
      </x:c>
      <x:c r="B13" s="39">
        <x:v>7500000</x:v>
      </x:c>
      <x:c r="C13" s="22" t="s">
        <x:v>140</x:v>
      </x:c>
      <x:c r="D13" s="22" t="inlineStr">
        <x:is>
          <x:t>Minimum diameter</x:t>
        </x:is>
      </x:c>
      <x:c r="E13" s="30">
        <x:v>0.5</x:v>
      </x:c>
      <x:c r="F13" s="28"/>
      <x:c r="G13" s="28"/>
      <x:c r="H13" s="28"/>
    </x:row>
    <x:row r="14" ht="21" customHeight="1">
      <x:c r="A14" s="22" t="s">
        <x:v>15</x:v>
      </x:c>
      <x:c r="B14" s="39">
        <x:v>2.8E-3</x:v>
      </x:c>
      <x:c r="C14" s="22" t="s">
        <x:v>141</x:v>
      </x:c>
      <x:c r="D14" s="22" t="inlineStr">
        <x:is>
          <x:t>Maximum diameter</x:t>
        </x:is>
      </x:c>
      <x:c r="E14" s="30">
        <x:v>10</x:v>
      </x:c>
      <x:c r="F14" s="28"/>
      <x:c r="G14" s="28"/>
      <x:c r="H14" s="28"/>
    </x:row>
    <x:row r="15" ht="21" customHeight="1">
      <x:c r="A15" s="22" t="s">
        <x:v>142</x:v>
      </x:c>
      <x:c r="B15" s="23">
        <x:v>15000</x:v>
      </x:c>
      <x:c r="C15" s="22" t="s">
        <x:v>140</x:v>
      </x:c>
      <x:c r="D15" s="22"/>
      <x:c r="E15" s="22"/>
      <x:c r="F15" s="28"/>
      <x:c r="G15" s="28"/>
      <x:c r="H15" s="28"/>
    </x:row>
    <x:row r="16" ht="21" customHeight="1">
      <x:c r="A16" s="22" t="s">
        <x:v>143</x:v>
      </x:c>
      <x:c r="B16" s="23">
        <x:v>2</x:v>
      </x:c>
      <x:c r="C16" s="22" t="s">
        <x:v>20</x:v>
      </x:c>
      <x:c r="D16" s="22"/>
      <x:c r="E16" s="22"/>
      <x:c r="F16" s="28"/>
      <x:c r="G16" s="28"/>
      <x:c r="H16" s="28"/>
    </x:row>
    <x:row r="17" ht="21" customHeight="1">
      <x:c r="A17" s="22"/>
      <x:c r="B17" s="23"/>
      <x:c r="C17" s="22"/>
      <x:c r="D17" s="22"/>
      <x:c r="E17" s="22"/>
      <x:c r="F17" s="28"/>
      <x:c r="G17" s="28"/>
      <x:c r="H17" s="28"/>
    </x:row>
    <x:row r="18" ht="21" customHeight="1">
      <x:c r="A18" s="22" t="s">
        <x:v>144</x:v>
      </x:c>
      <x:c r="B18" s="30">
        <x:f>SQRT(Q3_H^2+Q3_B^2/3)</x:f>
        <x:v>85.440037453175307</x:v>
      </x:c>
      <x:c r="C18" s="22" t="s">
        <x:v>4</x:v>
      </x:c>
      <x:c r="D18" s="22"/>
      <x:c r="E18" s="22"/>
      <x:c r="F18" s="28"/>
      <x:c r="G18" s="28"/>
      <x:c r="H18" s="28"/>
    </x:row>
    <x:row r="19" ht="21" customHeight="1">
      <x:c r="A19" s="22" t="s">
        <x:v>145</x:v>
      </x:c>
      <x:c r="B19" s="30">
        <x:f>PI()*Q3_D^2/4</x:f>
        <x:v>9.2036811826785314</x:v>
      </x:c>
      <x:c r="C19" s="22" t="s">
        <x:v>146</x:v>
      </x:c>
      <x:c r="D19" s="22"/>
      <x:c r="E19" s="22"/>
      <x:c r="F19" s="28"/>
      <x:c r="G19" s="28"/>
      <x:c r="H19" s="28"/>
    </x:row>
    <x:row r="20" ht="21" customHeight="1">
      <x:c r="A20" s="22" t="s">
        <x:v>147</x:v>
      </x:c>
      <x:c r="B20" s="30">
        <x:f>PI()*Q3_D^4/64</x:f>
        <x:v>6.7408283514731115</x:v>
      </x:c>
      <x:c r="C20" s="22" t="s">
        <x:v>148</x:v>
      </x:c>
      <x:c r="D20" s="22"/>
      <x:c r="E20" s="22"/>
      <x:c r="F20" s="28"/>
      <x:c r="G20" s="28"/>
      <x:c r="H20" s="28"/>
    </x:row>
    <x:row r="21" ht="21" customHeight="1">
      <x:c r="A21" s="22" t="s">
        <x:v>149</x:v>
      </x:c>
      <x:c r="B21" s="30">
        <x:f>Q3_W*B18/(3*Q3_H)</x:f>
        <x:v>34176.01498127012</x:v>
      </x:c>
      <x:c r="C21" s="22" t="s">
        <x:v>10</x:v>
      </x:c>
      <x:c r="D21" s="22"/>
      <x:c r="E21" s="22"/>
      <x:c r="F21" s="28"/>
      <x:c r="G21" s="28"/>
      <x:c r="H21" s="28"/>
    </x:row>
    <x:row r="22" ht="21" customHeight="1">
      <x:c r="A22" s="22" t="s">
        <x:v>150</x:v>
      </x:c>
      <x:c r="B22" s="30">
        <x:f>B21/B19</x:f>
        <x:v>3713.2984403664377</x:v>
      </x:c>
      <x:c r="C22" s="22" t="s">
        <x:v>140</x:v>
      </x:c>
      <x:c r="D22" s="22"/>
      <x:c r="E22" s="22"/>
      <x:c r="F22" s="28"/>
      <x:c r="G22" s="28"/>
      <x:c r="H22" s="28"/>
    </x:row>
    <x:row r="23" ht="21" customHeight="1">
      <x:c r="A23" s="22" t="s">
        <x:v>151</x:v>
      </x:c>
      <x:c r="B23" s="30">
        <x:f>PI()^2*Q3_E*B20/B18^2</x:f>
        <x:v>68352.029963719469</x:v>
      </x:c>
      <x:c r="C23" s="22" t="s">
        <x:v>10</x:v>
      </x:c>
      <x:c r="D23" s="22"/>
      <x:c r="E23" s="22"/>
      <x:c r="F23" s="28"/>
      <x:c r="G23" s="28"/>
      <x:c r="H23" s="28"/>
    </x:row>
    <x:row r="24" ht="21" customHeight="1">
      <x:c r="A24" s="22"/>
      <x:c r="B24" s="23"/>
      <x:c r="C24" s="22"/>
      <x:c r="D24" s="22"/>
      <x:c r="E24" s="22"/>
      <x:c r="F24" s="28"/>
      <x:c r="G24" s="28"/>
      <x:c r="H24" s="28"/>
    </x:row>
    <x:row r="25" ht="21" customHeight="1">
      <x:c r="A25" s="35" t="s">
        <x:v>36</x:v>
      </x:c>
      <x:c r="B25" s="36" t="s">
        <x:v>37</x:v>
      </x:c>
      <x:c r="C25" s="35" t="s">
        <x:v>38</x:v>
      </x:c>
      <x:c r="D25" s="35" t="s">
        <x:v>39</x:v>
      </x:c>
      <x:c r="E25" s="35" t="s">
        <x:v>103</x:v>
      </x:c>
      <x:c r="F25" s="37"/>
      <x:c r="G25" s="37"/>
      <x:c r="H25" s="37"/>
    </x:row>
    <x:row r="26" ht="21" customHeight="1">
      <x:c r="A26" s="22" t="s">
        <x:v>152</x:v>
      </x:c>
      <x:c r="B26" s="30">
        <x:f>B22/Q3_sigma</x:f>
        <x:v>0.24755322935776253</x:v>
      </x:c>
      <x:c r="C26" s="30">
        <x:v>1</x:v>
      </x:c>
      <x:c r="D26" s="30">
        <x:f t="shared" ref="D26:D31" si="0">B26-1</x:f>
        <x:v>-0.75244677064223753</x:v>
      </x:c>
      <x:c r="E26" s="22" t="str">
        <x:f t="shared" ref="E26:E31" si="1">IF(D26&gt;0.0000001,"VIOLATED",IF(ABS(D26)&lt;=0.000001,"Active","Inactive"))</x:f>
        <x:v>Inactive</x:v>
      </x:c>
      <x:c r="F26" s="28"/>
      <x:c r="G26" s="28"/>
      <x:c r="H26" s="28"/>
    </x:row>
    <x:row r="27" ht="21" customHeight="1">
      <x:c r="A27" s="22" t="s">
        <x:v>153</x:v>
      </x:c>
      <x:c r="B27" s="30">
        <x:f>Q3_FS*B21/B23</x:f>
        <x:v>0.99999999998274769</x:v>
      </x:c>
      <x:c r="C27" s="30">
        <x:v>1</x:v>
      </x:c>
      <x:c r="D27" s="30">
        <x:f t="shared" si="0"/>
        <x:v>-1.725231069116262E-11</x:v>
      </x:c>
      <x:c r="E27" s="22" t="str">
        <x:f t="shared" si="1"/>
        <x:v>Active</x:v>
      </x:c>
      <x:c r="F27" s="28"/>
      <x:c r="G27" s="28"/>
      <x:c r="H27" s="28"/>
    </x:row>
    <x:row r="28" ht="21" customHeight="1">
      <x:c r="A28" s="22" t="s">
        <x:v>154</x:v>
      </x:c>
      <x:c r="B28" s="30">
        <x:f>$E$11/Q3_H</x:f>
        <x:v>1</x:v>
      </x:c>
      <x:c r="C28" s="30">
        <x:v>1</x:v>
      </x:c>
      <x:c r="D28" s="30">
        <x:f t="shared" si="0"/>
        <x:v>0</x:v>
      </x:c>
      <x:c r="E28" s="22" t="str">
        <x:f t="shared" si="1"/>
        <x:v>Active</x:v>
      </x:c>
      <x:c r="F28" s="28"/>
      <x:c r="G28" s="28"/>
      <x:c r="H28" s="28"/>
    </x:row>
    <x:row r="29" ht="21" customHeight="1">
      <x:c r="A29" s="22" t="s">
        <x:v>155</x:v>
      </x:c>
      <x:c r="B29" s="30">
        <x:f>Q3_H/$E$12</x:f>
        <x:v>0.25</x:v>
      </x:c>
      <x:c r="C29" s="30">
        <x:v>1</x:v>
      </x:c>
      <x:c r="D29" s="30">
        <x:f t="shared" si="0"/>
        <x:v>-0.75</x:v>
      </x:c>
      <x:c r="E29" s="22" t="str">
        <x:f t="shared" si="1"/>
        <x:v>Inactive</x:v>
      </x:c>
      <x:c r="F29" s="28"/>
      <x:c r="G29" s="28"/>
      <x:c r="H29" s="28"/>
    </x:row>
    <x:row r="30" ht="21" customHeight="1">
      <x:c r="A30" s="22" t="s">
        <x:v>156</x:v>
      </x:c>
      <x:c r="B30" s="30">
        <x:f>$E$13/Q3_D</x:f>
        <x:v>0.14606096375182975</x:v>
      </x:c>
      <x:c r="C30" s="30">
        <x:v>1</x:v>
      </x:c>
      <x:c r="D30" s="30">
        <x:f t="shared" si="0"/>
        <x:v>-0.85393903624817025</x:v>
      </x:c>
      <x:c r="E30" s="22" t="str">
        <x:f t="shared" si="1"/>
        <x:v>Inactive</x:v>
      </x:c>
      <x:c r="F30" s="28"/>
      <x:c r="G30" s="28"/>
      <x:c r="H30" s="28"/>
    </x:row>
    <x:row r="31" ht="21" customHeight="1">
      <x:c r="A31" s="22" t="s">
        <x:v>157</x:v>
      </x:c>
      <x:c r="B31" s="30">
        <x:f>Q3_D/$E$14</x:f>
        <x:v>0.3423228131299636</x:v>
      </x:c>
      <x:c r="C31" s="30">
        <x:v>1</x:v>
      </x:c>
      <x:c r="D31" s="30">
        <x:f t="shared" si="0"/>
        <x:v>-0.6576771868700364</x:v>
      </x:c>
      <x:c r="E31" s="22" t="str">
        <x:f t="shared" si="1"/>
        <x:v>Inactive</x:v>
      </x:c>
      <x:c r="F31" s="28"/>
      <x:c r="G31" s="28"/>
      <x:c r="H31" s="28"/>
    </x:row>
    <x:row r="32" ht="21" customHeight="1">
      <x:c r="A32" s="22"/>
      <x:c r="B32" s="23"/>
      <x:c r="C32" s="22"/>
      <x:c r="D32" s="22"/>
      <x:c r="E32" s="22"/>
      <x:c r="F32" s="28"/>
      <x:c r="G32" s="28"/>
      <x:c r="H32" s="28"/>
    </x:row>
    <x:row r="33" ht="21" customHeight="1">
      <x:c r="A33" s="22"/>
      <x:c r="B33" s="23"/>
      <x:c r="C33" s="22"/>
      <x:c r="D33" s="22"/>
      <x:c r="E33" s="22"/>
      <x:c r="F33" s="28"/>
      <x:c r="G33" s="28"/>
      <x:c r="H33" s="28"/>
    </x:row>
    <x:row r="34" ht="21" customHeight="1">
      <x:c r="A34" s="22" t="s">
        <x:v>158</x:v>
      </x:c>
      <x:c r="B34" s="23"/>
      <x:c r="C34" s="22"/>
      <x:c r="D34" s="22"/>
      <x:c r="E34" s="22"/>
      <x:c r="F34" s="28"/>
      <x:c r="G34" s="28"/>
      <x:c r="H34" s="28"/>
    </x:row>
    <x:row r="35" ht="21" customHeight="1">
      <x:c r="A35" s="22" t="s">
        <x:v>159</x:v>
      </x:c>
      <x:c r="B35" s="23"/>
      <x:c r="C35" s="22"/>
      <x:c r="D35" s="22"/>
      <x:c r="E35" s="22"/>
      <x:c r="F35" s="28"/>
      <x:c r="G35" s="28"/>
      <x:c r="H35" s="28"/>
    </x:row>
    <x:row r="36" ht="21" customHeight="1">
      <x:c r="A36" s="22" t="s">
        <x:v>160</x:v>
      </x:c>
      <x:c r="B36" s="23"/>
      <x:c r="C36" s="22"/>
      <x:c r="D36" s="22"/>
      <x:c r="E36" s="22"/>
      <x:c r="F36" s="28"/>
      <x:c r="G36" s="28"/>
      <x:c r="H36" s="28"/>
    </x:row>
    <x:row r="37" ht="21" customHeight="1">
      <x:c r="A37" s="22"/>
      <x:c r="B37" s="23"/>
      <x:c r="C37" s="22"/>
      <x:c r="D37" s="22"/>
      <x:c r="E37" s="22"/>
      <x:c r="F37" s="28"/>
      <x:c r="G37" s="28"/>
      <x:c r="H37" s="28"/>
    </x:row>
    <x:row r="38" ht="21" customHeight="1">
      <x:c r="A38" s="22" t="inlineStr">
        <x:is>
          <x:t>Solver status</x:t>
        </x:is>
      </x:c>
      <x:c r="B38" s="22" t="inlineStr">
        <x:is>
          <x:t>Solved with Excel Solver (GRG Nonlinear)</x:t>
        </x:is>
      </x:c>
      <x:c r="C38" s="22"/>
      <x:c r="D38" s="22"/>
      <x:c r="E38" s="22"/>
      <x:c r="F38" s="28"/>
      <x:c r="G38" s="28"/>
      <x:c r="H38" s="28"/>
    </x:row>
    <x:row r="39" ht="21" customHeight="1">
      <x:c r="A39" s="22" t="inlineStr">
        <x:is>
          <x:t>Feasibility</x:t>
        </x:is>
      </x:c>
      <x:c r="B39" s="22" t="inlineStr">
        <x:is>
          <x:t>Within Solver tolerances</x:t>
        </x:is>
      </x:c>
      <x:c r="C39" s="22"/>
      <x:c r="D39" s="22"/>
      <x:c r="E39" s="22"/>
      <x:c r="F39" s="28"/>
      <x:c r="G39" s="28"/>
      <x:c r="H39" s="28"/>
    </x:row>
    <x:row r="40" ht="21" customHeight="1">
      <x:c r="A40" s="22" t="s">
        <x:v>113</x:v>
      </x:c>
      <x:c r="B40" s="30">
        <x:v>6.6054480656231638</x:v>
      </x:c>
      <x:c r="C40" s="22"/>
      <x:c r="D40" s="22"/>
      <x:c r="E40" s="22"/>
      <x:c r="F40" s="28"/>
      <x:c r="G40" s="28"/>
      <x:c r="H40" s="28"/>
    </x:row>
    <x:row r="41" ht="21" customHeight="1">
      <x:c r="A41" s="22" t="s">
        <x:v>161</x:v>
      </x:c>
      <x:c r="B41" s="30">
        <x:v>50</x:v>
      </x:c>
      <x:c r="C41" s="22"/>
      <x:c r="D41" s="22"/>
      <x:c r="E41" s="22"/>
      <x:c r="F41" s="28"/>
      <x:c r="G41" s="28"/>
      <x:c r="H41" s="28"/>
    </x:row>
    <x:row r="42" ht="21" customHeight="1">
      <x:c r="A42" s="22" t="s">
        <x:v>162</x:v>
      </x:c>
      <x:c r="B42" s="30">
        <x:v>3.423228131299636</x:v>
      </x:c>
      <x:c r="C42" s="22"/>
      <x:c r="D42" s="22"/>
      <x:c r="E42" s="22"/>
      <x:c r="F42" s="28"/>
      <x:c r="G42" s="28"/>
      <x:c r="H42" s="28"/>
    </x:row>
  </x:sheetData>
  <x:conditionalFormatting sqref="D26:D31">
    <x:cfRule type="cellIs" dxfId="1" priority="1" operator="greaterThan">
      <x:formula>0.0000001</x:formula>
    </x:cfRule>
  </x:conditionalFormatting>
  <x:dataValidations count="2">
    <x:dataValidation type="decimal" showErrorMessage="1" error="Use assignment bounds: 0.5 to 10 cm." sqref="B8">
      <x:formula1>0.5</x:formula1>
      <x:formula2>10</x:formula2>
    </x:dataValidation>
    <x:dataValidation type="decimal" showErrorMessage="1" error="Use assignment bounds: 50 to 200 cm." sqref="B7">
      <x:formula1>50</x:formula1>
      <x:formula2>200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33" customWidth="1"/>
    <x:col min="2" max="2" width="110" customWidth="1"/>
  </x:cols>
  <x:sheetData>
    <x:row r="1" ht="26.100000381469727" customHeight="1">
      <x:c r="A1" s="35" t="s">
        <x:v>57</x:v>
      </x:c>
      <x:c r="B1" s="35" t="s">
        <x:v>58</x:v>
      </x:c>
    </x:row>
    <x:row r="2" ht="26.100000381469727" customHeight="1">
      <x:c r="A2" s="22" t="s">
        <x:v>59</x:v>
      </x:c>
      <x:c r="B2" s="22" t="s">
        <x:v>163</x:v>
      </x:c>
    </x:row>
    <x:row r="3" ht="26.100000381469727" customHeight="1">
      <x:c r="A3" s="22" t="s">
        <x:v>61</x:v>
      </x:c>
      <x:c r="B3" s="22" t="s">
        <x:v>164</x:v>
      </x:c>
    </x:row>
    <x:row r="4" ht="26.100000381469727" customHeight="1">
      <x:c r="A4" s="22" t="s">
        <x:v>165</x:v>
      </x:c>
      <x:c r="B4" s="22" t="s">
        <x:v>166</x:v>
      </x:c>
    </x:row>
    <x:row r="5" ht="26.100000381469727" customHeight="1">
      <x:c r="A5" s="22" t="s">
        <x:v>167</x:v>
      </x:c>
      <x:c r="B5" s="22" t="inlineStr">
        <x:is>
          <x:t>Height limits: Q3_Tripod!E11:E12 (cm)</x:t>
        </x:is>
      </x:c>
    </x:row>
    <x:row r="6" ht="26.100000381469727" customHeight="1">
      <x:c r="A6" s="22" t="s">
        <x:v>169</x:v>
      </x:c>
      <x:c r="B6" s="22" t="inlineStr">
        <x:is>
          <x:t>Diameter limits: Q3_Tripod!E13:E14 (cm)</x:t>
        </x:is>
      </x:c>
    </x:row>
    <x:row r="7" ht="26.100000381469727" customHeight="1">
      <x:c r="A7" s="22" t="s">
        <x:v>43</x:v>
      </x:c>
      <x:c r="B7" s="22" t="s">
        <x:v>69</x:v>
      </x:c>
    </x:row>
    <x:row r="8" ht="26.100000381469727" customHeight="1">
      <x:c r="A8" s="22" t="s">
        <x:v>70</x:v>
      </x:c>
      <x:c r="B8" s="22" t="s">
        <x:v>71</x:v>
      </x:c>
    </x:row>
    <x:row r="9" ht="26.100000381469727" customHeight="1">
      <x:c r="A9" s="22" t="s">
        <x:v>72</x:v>
      </x:c>
      <x:c r="B9" s="22" t="s">
        <x:v>125</x:v>
      </x:c>
    </x:row>
    <x:row r="10" ht="26.100000381469727" customHeight="1">
      <x:c r="A10" s="22" t="s">
        <x:v>74</x:v>
      </x:c>
      <x:c r="B10" s="22" t="s">
        <x:v>75</x:v>
      </x:c>
    </x:row>
    <x:row r="11" ht="26.100000381469727" customHeight="1">
      <x:c r="A11" s="22" t="s">
        <x:v>76</x:v>
      </x:c>
      <x:c r="B11" s="22" t="s">
        <x:v>171</x:v>
      </x:c>
    </x:row>
    <x:row r="12" ht="26.100000381469727" customHeight="1">
      <x:c r="A12" s="22" t="s">
        <x:v>172</x:v>
      </x:c>
      <x:c r="B12" s="22" t="inlineStr">
        <x:is>
          <x:t>Q3_Tripod!H1:H60 (saved Solver model cells)</x:t>
        </x:is>
      </x:c>
    </x:row>
    <x:row r="13" ht="26.100000381469727" customHeight="1">
      <x:c r="A13" s="22" t="s">
        <x:v>82</x:v>
      </x:c>
      <x:c r="B13" s="22" t="s">
        <x:v>83</x:v>
      </x:c>
    </x:row>
    <x:row r="14" ht="26.100000381469727" customHeight="1">
      <x:c r="A14" s="22" t="s">
        <x:v>174</x:v>
      </x:c>
      <x:c r="B14" s="22" t="s">
        <x:v>175</x:v>
      </x:c>
    </x:row>
    <x:row r="15" ht="26.100000381469727" customHeight="1">
      <x:c r="A15" s="22" t="s">
        <x:v>86</x:v>
      </x:c>
      <x:c r="B15" s="22" t="s">
        <x:v>176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FFFFFF"/>
  </x:sheetPr>
  <x:sheetViews>
    <x:sheetView showGridLines="0" workbookViewId="0"/>
  </x:sheetViews>
  <x:sheetFormatPr defaultRowHeight="15"/>
  <x:cols>
    <x:col min="1" max="1" width="158" customWidth="1"/>
  </x:cols>
  <x:sheetData>
    <x:row r="1">
      <x:c r="A1" s="22"/>
    </x:row>
    <x:row r="2">
      <x:c r="A2" s="31" t="s">
        <x:v>177</x:v>
      </x:c>
    </x:row>
    <x:row r="3">
      <x:c r="A3" s="22"/>
    </x:row>
    <x:row r="4">
      <x:c r="A4" s="22"/>
    </x:row>
    <x:row r="5">
      <x:c r="A5" s="22"/>
    </x:row>
    <x:row r="6">
      <x:c r="A6" s="22"/>
    </x:row>
    <x:row r="7">
      <x:c r="A7" s="22"/>
    </x:row>
    <x:row r="8">
      <x:c r="A8" s="22"/>
    </x:row>
    <x:row r="9">
      <x:c r="A9" s="22"/>
    </x:row>
    <x:row r="10">
      <x:c r="A10" s="22"/>
    </x:row>
    <x:row r="11">
      <x:c r="A11" s="22"/>
    </x:row>
    <x:row r="12">
      <x:c r="A12" s="22"/>
    </x:row>
    <x:row r="13">
      <x:c r="A13" s="22"/>
    </x:row>
    <x:row r="14">
      <x:c r="A14" s="22"/>
    </x:row>
    <x:row r="15">
      <x:c r="A15" s="22"/>
    </x:row>
    <x:row r="16">
      <x:c r="A16" s="22"/>
    </x:row>
    <x:row r="17">
      <x:c r="A17" s="22"/>
    </x:row>
    <x:row r="18">
      <x:c r="A18" s="22"/>
    </x:row>
    <x:row r="19">
      <x:c r="A19" s="22"/>
    </x:row>
    <x:row r="20">
      <x:c r="A20" s="22"/>
    </x:row>
    <x:row r="21">
      <x:c r="A21" s="22"/>
    </x:row>
    <x:row r="22">
      <x:c r="A22" s="22"/>
    </x:row>
    <x:row r="23">
      <x:c r="A23" s="22"/>
    </x:row>
    <x:row r="24">
      <x:c r="A24" s="22"/>
    </x:row>
    <x:row r="25">
      <x:c r="A25" s="22"/>
    </x:row>
    <x:row r="26">
      <x:c r="A26" s="22"/>
    </x:row>
    <x:row r="27">
      <x:c r="A27" s="22"/>
    </x:row>
    <x:row r="28">
      <x:c r="A28" s="22"/>
    </x:row>
    <x:row r="29">
      <x:c r="A29" s="22"/>
    </x:row>
    <x:row r="30">
      <x:c r="A30" s="22"/>
    </x:row>
    <x:row r="31">
      <x:c r="A31" s="22"/>
    </x:row>
    <x:row r="32">
      <x:c r="A32" s="22" t="s">
        <x:v>178</x:v>
      </x:c>
    </x:row>
  </x:sheetData>
  <x:pageMargins left="0.7" right="0.7" top="0.75" bottom="0.75" header="0.3" footer="0.3"/>
  <x:drawing xmlns:r="http://schemas.openxmlformats.org/officeDocument/2006/relationships" r:id="Rd7deb4d3fb7f47db"/>
</x:worksheet>
</file>